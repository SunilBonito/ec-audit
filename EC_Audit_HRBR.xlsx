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79" documentId="8_{1A492079-FEC8-48AF-BBF9-51A9B6D79522}" xr6:coauthVersionLast="47" xr6:coauthVersionMax="47" xr10:uidLastSave="{D41156C2-19BF-4FB6-B7FA-B5E8A5A5D8EC}"/>
  <bookViews>
    <workbookView xWindow="-108" yWindow="-108" windowWidth="23256" windowHeight="12456" tabRatio="826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2" i="13" l="1"/>
  <c r="V291" i="13"/>
  <c r="V290" i="13"/>
  <c r="V289" i="13"/>
  <c r="V288" i="13"/>
  <c r="V287" i="13"/>
  <c r="V286" i="13"/>
  <c r="V285" i="13"/>
  <c r="V284" i="13"/>
  <c r="V283" i="13"/>
  <c r="V282" i="13"/>
  <c r="V281" i="13"/>
  <c r="V280" i="13"/>
  <c r="V279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30" i="13"/>
  <c r="V229" i="13"/>
  <c r="V228" i="13"/>
  <c r="V227" i="13"/>
  <c r="V226" i="13"/>
  <c r="V225" i="13"/>
  <c r="V224" i="13"/>
  <c r="V223" i="13"/>
  <c r="V222" i="13"/>
  <c r="V221" i="13"/>
  <c r="V220" i="13"/>
  <c r="V219" i="13"/>
  <c r="V218" i="13"/>
  <c r="V217" i="13"/>
  <c r="V216" i="13"/>
  <c r="V215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90" i="13"/>
  <c r="V189" i="13"/>
  <c r="V188" i="13"/>
  <c r="V187" i="13"/>
  <c r="V186" i="13"/>
  <c r="V185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60" i="13"/>
  <c r="V159" i="13"/>
  <c r="V158" i="13"/>
  <c r="V157" i="13"/>
  <c r="V156" i="13"/>
  <c r="V155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30" i="13"/>
  <c r="V129" i="13"/>
  <c r="V128" i="13"/>
  <c r="V127" i="13"/>
  <c r="V126" i="13"/>
  <c r="V125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70" i="13"/>
  <c r="V69" i="13"/>
  <c r="V68" i="13"/>
  <c r="V67" i="13"/>
  <c r="V66" i="13"/>
  <c r="V65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40" i="13"/>
  <c r="V39" i="13"/>
  <c r="V38" i="13"/>
  <c r="V37" i="13"/>
  <c r="V36" i="13"/>
  <c r="V35" i="13"/>
  <c r="V34" i="13"/>
  <c r="V33" i="13"/>
  <c r="V32" i="13"/>
  <c r="V31" i="13"/>
  <c r="V30" i="13"/>
  <c r="V29" i="13"/>
  <c r="V28" i="13"/>
  <c r="V27" i="13"/>
  <c r="V26" i="13"/>
  <c r="V25" i="13"/>
  <c r="V24" i="13"/>
  <c r="V23" i="13"/>
  <c r="V22" i="13"/>
  <c r="V21" i="13"/>
  <c r="V20" i="13"/>
  <c r="V19" i="13"/>
  <c r="V18" i="13"/>
  <c r="V17" i="13"/>
  <c r="V16" i="13"/>
  <c r="V15" i="13"/>
  <c r="V14" i="13"/>
  <c r="V13" i="13"/>
  <c r="V12" i="13"/>
  <c r="V11" i="13"/>
  <c r="V10" i="13"/>
  <c r="V9" i="13"/>
  <c r="V8" i="13"/>
  <c r="V7" i="13"/>
  <c r="V6" i="13"/>
  <c r="V5" i="13"/>
  <c r="V516" i="12"/>
  <c r="V515" i="12"/>
  <c r="V514" i="12"/>
  <c r="V513" i="12"/>
  <c r="V512" i="12"/>
  <c r="V511" i="12"/>
  <c r="V510" i="12"/>
  <c r="V509" i="12"/>
  <c r="V508" i="12"/>
  <c r="V507" i="12"/>
  <c r="V506" i="12"/>
  <c r="V505" i="12"/>
  <c r="V504" i="12"/>
  <c r="V503" i="12"/>
  <c r="V502" i="12"/>
  <c r="V501" i="12"/>
  <c r="V500" i="12"/>
  <c r="V499" i="12"/>
  <c r="V498" i="12"/>
  <c r="V497" i="12"/>
  <c r="V496" i="12"/>
  <c r="V495" i="12"/>
  <c r="V494" i="12"/>
  <c r="V493" i="12"/>
  <c r="V492" i="12"/>
  <c r="V491" i="12"/>
  <c r="V490" i="12"/>
  <c r="V489" i="12"/>
  <c r="V488" i="12"/>
  <c r="V487" i="12"/>
  <c r="V486" i="12"/>
  <c r="V485" i="12"/>
  <c r="V484" i="12"/>
  <c r="V483" i="12"/>
  <c r="V482" i="12"/>
  <c r="V481" i="12"/>
  <c r="V480" i="12"/>
  <c r="V479" i="12"/>
  <c r="V478" i="12"/>
  <c r="V477" i="12"/>
  <c r="V476" i="12"/>
  <c r="V475" i="12"/>
  <c r="V474" i="12"/>
  <c r="V473" i="12"/>
  <c r="V472" i="12"/>
  <c r="V471" i="12"/>
  <c r="V470" i="12"/>
  <c r="V469" i="12"/>
  <c r="V468" i="12"/>
  <c r="V467" i="12"/>
  <c r="V466" i="12"/>
  <c r="V465" i="12"/>
  <c r="V464" i="12"/>
  <c r="V463" i="12"/>
  <c r="V462" i="12"/>
  <c r="V461" i="12"/>
  <c r="V460" i="12"/>
  <c r="V459" i="12"/>
  <c r="V458" i="12"/>
  <c r="V457" i="12"/>
  <c r="V456" i="12"/>
  <c r="V455" i="12"/>
  <c r="V454" i="12"/>
  <c r="V453" i="12"/>
  <c r="V452" i="12"/>
  <c r="V451" i="12"/>
  <c r="V450" i="12"/>
  <c r="V449" i="12"/>
  <c r="V448" i="12"/>
  <c r="V447" i="12"/>
  <c r="V446" i="12"/>
  <c r="V445" i="12"/>
  <c r="V444" i="12"/>
  <c r="V443" i="12"/>
  <c r="V442" i="12"/>
  <c r="V441" i="12"/>
  <c r="V440" i="12"/>
  <c r="V439" i="12"/>
  <c r="V438" i="12"/>
  <c r="V437" i="12"/>
  <c r="V436" i="12"/>
  <c r="V435" i="12"/>
  <c r="V434" i="12"/>
  <c r="V433" i="12"/>
  <c r="V432" i="12"/>
  <c r="V431" i="12"/>
  <c r="V430" i="12"/>
  <c r="V429" i="12"/>
  <c r="V428" i="12"/>
  <c r="V427" i="12"/>
  <c r="V426" i="12"/>
  <c r="V425" i="12"/>
  <c r="V424" i="12"/>
  <c r="V423" i="12"/>
  <c r="V422" i="12"/>
  <c r="V421" i="12"/>
  <c r="V420" i="12"/>
  <c r="V419" i="12"/>
  <c r="V418" i="12"/>
  <c r="V417" i="12"/>
  <c r="V416" i="12"/>
  <c r="V415" i="12"/>
  <c r="V414" i="12"/>
  <c r="V413" i="12"/>
  <c r="V412" i="12"/>
  <c r="V411" i="12"/>
  <c r="V410" i="12"/>
  <c r="V409" i="12"/>
  <c r="V408" i="12"/>
  <c r="V407" i="12"/>
  <c r="V406" i="12"/>
  <c r="V405" i="12"/>
  <c r="V404" i="12"/>
  <c r="V403" i="12"/>
  <c r="V402" i="12"/>
  <c r="V401" i="12"/>
  <c r="V400" i="12"/>
  <c r="V399" i="12"/>
  <c r="V398" i="12"/>
  <c r="V397" i="12"/>
  <c r="V396" i="12"/>
  <c r="V395" i="12"/>
  <c r="V394" i="12"/>
  <c r="V393" i="12"/>
  <c r="V392" i="12"/>
  <c r="V391" i="12"/>
  <c r="V390" i="12"/>
  <c r="V389" i="12"/>
  <c r="V388" i="12"/>
  <c r="V387" i="12"/>
  <c r="V386" i="12"/>
  <c r="V385" i="12"/>
  <c r="V384" i="12"/>
  <c r="V383" i="12"/>
  <c r="V382" i="12"/>
  <c r="V381" i="12"/>
  <c r="V380" i="12"/>
  <c r="V379" i="12"/>
  <c r="V378" i="12"/>
  <c r="V377" i="12"/>
  <c r="V376" i="12"/>
  <c r="V375" i="12"/>
  <c r="V374" i="12"/>
  <c r="V373" i="12"/>
  <c r="V372" i="12"/>
  <c r="V371" i="12"/>
  <c r="V370" i="12"/>
  <c r="V369" i="12"/>
  <c r="V368" i="12"/>
  <c r="V367" i="12"/>
  <c r="V366" i="12"/>
  <c r="V365" i="12"/>
  <c r="V364" i="12"/>
  <c r="V363" i="12"/>
  <c r="V362" i="12"/>
  <c r="V361" i="12"/>
  <c r="V360" i="12"/>
  <c r="V359" i="12"/>
  <c r="V358" i="12"/>
  <c r="V357" i="12"/>
  <c r="V356" i="12"/>
  <c r="V355" i="12"/>
  <c r="V354" i="12"/>
  <c r="V353" i="12"/>
  <c r="V352" i="12"/>
  <c r="V351" i="12"/>
  <c r="V350" i="12"/>
  <c r="V349" i="12"/>
  <c r="V348" i="12"/>
  <c r="V347" i="12"/>
  <c r="V346" i="12"/>
  <c r="V345" i="12"/>
  <c r="V344" i="12"/>
  <c r="V343" i="12"/>
  <c r="V342" i="12"/>
  <c r="V341" i="12"/>
  <c r="V340" i="12"/>
  <c r="V339" i="12"/>
  <c r="V338" i="12"/>
  <c r="V337" i="12"/>
  <c r="V336" i="12"/>
  <c r="V335" i="12"/>
  <c r="V334" i="12"/>
  <c r="V333" i="12"/>
  <c r="V332" i="12"/>
  <c r="V331" i="12"/>
  <c r="V330" i="12"/>
  <c r="V329" i="12"/>
  <c r="V328" i="12"/>
  <c r="V327" i="12"/>
  <c r="V326" i="12"/>
  <c r="V325" i="12"/>
  <c r="V324" i="12"/>
  <c r="V323" i="12"/>
  <c r="V322" i="12"/>
  <c r="V321" i="12"/>
  <c r="V320" i="12"/>
  <c r="V319" i="12"/>
  <c r="V318" i="12"/>
  <c r="V317" i="12"/>
  <c r="V316" i="12"/>
  <c r="V315" i="12"/>
  <c r="V314" i="12"/>
  <c r="V313" i="12"/>
  <c r="V312" i="12"/>
  <c r="V311" i="12"/>
  <c r="V310" i="12"/>
  <c r="V309" i="12"/>
  <c r="V308" i="12"/>
  <c r="V307" i="12"/>
  <c r="V306" i="12"/>
  <c r="V305" i="12"/>
  <c r="V304" i="12"/>
  <c r="V303" i="12"/>
  <c r="V302" i="12"/>
  <c r="V301" i="12"/>
  <c r="V300" i="12"/>
  <c r="V299" i="12"/>
  <c r="V298" i="12"/>
  <c r="V297" i="12"/>
  <c r="V296" i="12"/>
  <c r="V295" i="12"/>
  <c r="V294" i="12"/>
  <c r="V293" i="12"/>
  <c r="V292" i="12"/>
  <c r="V291" i="12"/>
  <c r="V290" i="12"/>
  <c r="V289" i="12"/>
  <c r="V288" i="12"/>
  <c r="V287" i="12"/>
  <c r="V286" i="12"/>
  <c r="V285" i="12"/>
  <c r="V284" i="12"/>
  <c r="V283" i="12"/>
  <c r="V282" i="12"/>
  <c r="V281" i="12"/>
  <c r="V280" i="12"/>
  <c r="V279" i="12"/>
  <c r="V278" i="12"/>
  <c r="V277" i="12"/>
  <c r="V276" i="12"/>
  <c r="V275" i="12"/>
  <c r="V274" i="12"/>
  <c r="V273" i="12"/>
  <c r="V272" i="12"/>
  <c r="V271" i="12"/>
  <c r="V270" i="12"/>
  <c r="V269" i="12"/>
  <c r="V268" i="12"/>
  <c r="V267" i="12"/>
  <c r="V266" i="12"/>
  <c r="V265" i="12"/>
  <c r="V264" i="12"/>
  <c r="V263" i="12"/>
  <c r="V262" i="12"/>
  <c r="V261" i="12"/>
  <c r="V260" i="12"/>
  <c r="V259" i="12"/>
  <c r="V258" i="12"/>
  <c r="V257" i="12"/>
  <c r="V256" i="12"/>
  <c r="V255" i="12"/>
  <c r="V254" i="12"/>
  <c r="V253" i="12"/>
  <c r="V252" i="12"/>
  <c r="V251" i="12"/>
  <c r="V250" i="12"/>
  <c r="V249" i="12"/>
  <c r="V248" i="12"/>
  <c r="V247" i="12"/>
  <c r="V246" i="12"/>
  <c r="V245" i="12"/>
  <c r="V244" i="12"/>
  <c r="V243" i="12"/>
  <c r="V242" i="12"/>
  <c r="V241" i="12"/>
  <c r="V240" i="12"/>
  <c r="V239" i="12"/>
  <c r="V238" i="12"/>
  <c r="V237" i="12"/>
  <c r="V236" i="12"/>
  <c r="V235" i="12"/>
  <c r="V234" i="12"/>
  <c r="V233" i="12"/>
  <c r="V232" i="12"/>
  <c r="V231" i="12"/>
  <c r="V230" i="12"/>
  <c r="V229" i="12"/>
  <c r="V228" i="12"/>
  <c r="V227" i="12"/>
  <c r="V226" i="12"/>
  <c r="V225" i="12"/>
  <c r="V224" i="12"/>
  <c r="V223" i="12"/>
  <c r="V222" i="12"/>
  <c r="V221" i="12"/>
  <c r="V220" i="12"/>
  <c r="V219" i="12"/>
  <c r="V218" i="12"/>
  <c r="V217" i="12"/>
  <c r="V216" i="12"/>
  <c r="V215" i="12"/>
  <c r="V214" i="12"/>
  <c r="V213" i="12"/>
  <c r="V212" i="12"/>
  <c r="V211" i="12"/>
  <c r="V210" i="12"/>
  <c r="V209" i="12"/>
  <c r="V208" i="12"/>
  <c r="V207" i="12"/>
  <c r="V206" i="12"/>
  <c r="V205" i="12"/>
  <c r="V204" i="12"/>
  <c r="V203" i="12"/>
  <c r="V202" i="12"/>
  <c r="V201" i="12"/>
  <c r="V200" i="12"/>
  <c r="V199" i="12"/>
  <c r="V198" i="12"/>
  <c r="V197" i="12"/>
  <c r="V196" i="12"/>
  <c r="V195" i="12"/>
  <c r="V194" i="12"/>
  <c r="V193" i="12"/>
  <c r="V192" i="12"/>
  <c r="V191" i="12"/>
  <c r="V190" i="12"/>
  <c r="V189" i="12"/>
  <c r="V188" i="12"/>
  <c r="V187" i="12"/>
  <c r="V186" i="12"/>
  <c r="V185" i="12"/>
  <c r="V184" i="12"/>
  <c r="V183" i="12"/>
  <c r="V182" i="12"/>
  <c r="V181" i="12"/>
  <c r="V180" i="12"/>
  <c r="V179" i="12"/>
  <c r="V178" i="12"/>
  <c r="V177" i="12"/>
  <c r="V176" i="12"/>
  <c r="V175" i="12"/>
  <c r="V174" i="12"/>
  <c r="V173" i="12"/>
  <c r="V172" i="12"/>
  <c r="V171" i="12"/>
  <c r="V170" i="12"/>
  <c r="V169" i="12"/>
  <c r="V168" i="12"/>
  <c r="V167" i="12"/>
  <c r="V166" i="12"/>
  <c r="V165" i="12"/>
  <c r="V164" i="12"/>
  <c r="V163" i="12"/>
  <c r="V162" i="12"/>
  <c r="V161" i="12"/>
  <c r="V160" i="12"/>
  <c r="V159" i="12"/>
  <c r="V158" i="12"/>
  <c r="V157" i="12"/>
  <c r="V156" i="12"/>
  <c r="V155" i="12"/>
  <c r="V154" i="12"/>
  <c r="V153" i="12"/>
  <c r="V152" i="12"/>
  <c r="V151" i="12"/>
  <c r="V150" i="12"/>
  <c r="V149" i="12"/>
  <c r="V148" i="12"/>
  <c r="V147" i="12"/>
  <c r="V146" i="12"/>
  <c r="V145" i="12"/>
  <c r="V144" i="12"/>
  <c r="V143" i="12"/>
  <c r="V142" i="12"/>
  <c r="V141" i="12"/>
  <c r="V140" i="12"/>
  <c r="V139" i="12"/>
  <c r="V138" i="12"/>
  <c r="V137" i="12"/>
  <c r="V136" i="12"/>
  <c r="V135" i="12"/>
  <c r="V134" i="12"/>
  <c r="V133" i="12"/>
  <c r="V132" i="12"/>
  <c r="V131" i="12"/>
  <c r="V130" i="12"/>
  <c r="V129" i="12"/>
  <c r="V128" i="12"/>
  <c r="V127" i="12"/>
  <c r="V126" i="12"/>
  <c r="V125" i="12"/>
  <c r="V124" i="12"/>
  <c r="V123" i="12"/>
  <c r="V122" i="12"/>
  <c r="V121" i="12"/>
  <c r="V120" i="12"/>
  <c r="V119" i="12"/>
  <c r="V118" i="12"/>
  <c r="V117" i="12"/>
  <c r="V116" i="12"/>
  <c r="V115" i="12"/>
  <c r="V114" i="12"/>
  <c r="V113" i="12"/>
  <c r="V112" i="12"/>
  <c r="V111" i="12"/>
  <c r="V110" i="12"/>
  <c r="V109" i="12"/>
  <c r="V108" i="12"/>
  <c r="V107" i="12"/>
  <c r="V106" i="12"/>
  <c r="V105" i="12"/>
  <c r="V104" i="12"/>
  <c r="V103" i="12"/>
  <c r="V102" i="12"/>
  <c r="V101" i="12"/>
  <c r="V100" i="12"/>
  <c r="V99" i="12"/>
  <c r="V98" i="12"/>
  <c r="V97" i="12"/>
  <c r="V96" i="12"/>
  <c r="V95" i="12"/>
  <c r="V94" i="12"/>
  <c r="V93" i="12"/>
  <c r="V92" i="12"/>
  <c r="V91" i="12"/>
  <c r="V90" i="12"/>
  <c r="V89" i="12"/>
  <c r="V88" i="12"/>
  <c r="V87" i="12"/>
  <c r="V86" i="12"/>
  <c r="V85" i="12"/>
  <c r="V84" i="12"/>
  <c r="V83" i="12"/>
  <c r="V82" i="12"/>
  <c r="V81" i="12"/>
  <c r="V80" i="12"/>
  <c r="V79" i="12"/>
  <c r="V78" i="12"/>
  <c r="V77" i="12"/>
  <c r="V76" i="12"/>
  <c r="V75" i="12"/>
  <c r="V74" i="12"/>
  <c r="V73" i="12"/>
  <c r="V72" i="12"/>
  <c r="V71" i="12"/>
  <c r="V70" i="12"/>
  <c r="V69" i="12"/>
  <c r="V68" i="12"/>
  <c r="V67" i="12"/>
  <c r="V66" i="12"/>
  <c r="V65" i="12"/>
  <c r="V64" i="12"/>
  <c r="V63" i="12"/>
  <c r="V62" i="12"/>
  <c r="V61" i="12"/>
  <c r="V60" i="12"/>
  <c r="V59" i="12"/>
  <c r="V58" i="12"/>
  <c r="V57" i="12"/>
  <c r="V56" i="12"/>
  <c r="V55" i="12"/>
  <c r="V54" i="12"/>
  <c r="V53" i="12"/>
  <c r="V52" i="12"/>
  <c r="V51" i="12"/>
  <c r="V50" i="12"/>
  <c r="V49" i="12"/>
  <c r="V48" i="12"/>
  <c r="V47" i="12"/>
  <c r="V46" i="12"/>
  <c r="V45" i="12"/>
  <c r="V44" i="12"/>
  <c r="V43" i="12"/>
  <c r="V42" i="12"/>
  <c r="V41" i="12"/>
  <c r="V40" i="12"/>
  <c r="V39" i="12"/>
  <c r="V38" i="12"/>
  <c r="V37" i="12"/>
  <c r="V36" i="12"/>
  <c r="V35" i="12"/>
  <c r="V34" i="12"/>
  <c r="V33" i="12"/>
  <c r="V32" i="12"/>
  <c r="V31" i="12"/>
  <c r="V30" i="12"/>
  <c r="V29" i="12"/>
  <c r="V28" i="12"/>
  <c r="V27" i="12"/>
  <c r="V26" i="12"/>
  <c r="V25" i="12"/>
  <c r="V24" i="12"/>
  <c r="V23" i="12"/>
  <c r="V22" i="12"/>
  <c r="V21" i="12"/>
  <c r="V20" i="12"/>
  <c r="V19" i="12"/>
  <c r="V18" i="12"/>
  <c r="V17" i="12"/>
  <c r="V16" i="12"/>
  <c r="V15" i="12"/>
  <c r="V14" i="12"/>
  <c r="V13" i="12"/>
  <c r="V12" i="12"/>
  <c r="V11" i="12"/>
  <c r="V10" i="12"/>
  <c r="V9" i="12"/>
  <c r="V8" i="12"/>
  <c r="V7" i="12"/>
  <c r="V6" i="12"/>
  <c r="V5" i="12"/>
  <c r="V80" i="11"/>
  <c r="V79" i="11"/>
  <c r="V78" i="11"/>
  <c r="V77" i="11"/>
  <c r="V76" i="11"/>
  <c r="V75" i="11"/>
  <c r="V74" i="11"/>
  <c r="V73" i="11"/>
  <c r="V72" i="11"/>
  <c r="V71" i="11"/>
  <c r="V70" i="11"/>
  <c r="V69" i="11"/>
  <c r="V68" i="11"/>
  <c r="V67" i="11"/>
  <c r="V66" i="11"/>
  <c r="V65" i="11"/>
  <c r="V64" i="11"/>
  <c r="V63" i="11"/>
  <c r="V62" i="11"/>
  <c r="V61" i="11"/>
  <c r="V60" i="11"/>
  <c r="V59" i="11"/>
  <c r="V58" i="11"/>
  <c r="V57" i="11"/>
  <c r="V56" i="11"/>
  <c r="V55" i="11"/>
  <c r="V54" i="11"/>
  <c r="V53" i="11"/>
  <c r="V52" i="11"/>
  <c r="V51" i="11"/>
  <c r="V50" i="11"/>
  <c r="V49" i="1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V19" i="11"/>
  <c r="V18" i="11"/>
  <c r="V17" i="11"/>
  <c r="V16" i="11"/>
  <c r="V15" i="11"/>
  <c r="V14" i="11"/>
  <c r="V13" i="11"/>
  <c r="V12" i="11"/>
  <c r="V11" i="11"/>
  <c r="V10" i="11"/>
  <c r="V9" i="11"/>
  <c r="V8" i="11"/>
  <c r="V7" i="11"/>
  <c r="V6" i="11"/>
  <c r="V5" i="11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16" i="8"/>
  <c r="V15" i="8"/>
  <c r="V14" i="8"/>
  <c r="V13" i="8"/>
  <c r="V12" i="8"/>
  <c r="V11" i="8"/>
  <c r="V10" i="8"/>
  <c r="V9" i="8"/>
  <c r="V8" i="8"/>
  <c r="V7" i="8"/>
  <c r="V6" i="8"/>
  <c r="V5" i="8"/>
  <c r="I12" i="1" s="1"/>
  <c r="V5" i="7"/>
  <c r="V117" i="7"/>
  <c r="V116" i="7"/>
  <c r="V115" i="7"/>
  <c r="V114" i="7"/>
  <c r="V113" i="7"/>
  <c r="V112" i="7"/>
  <c r="V111" i="7"/>
  <c r="V110" i="7"/>
  <c r="V109" i="7"/>
  <c r="V108" i="7"/>
  <c r="V107" i="7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V82" i="7"/>
  <c r="V81" i="7"/>
  <c r="V80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1413" i="6"/>
  <c r="V1412" i="6"/>
  <c r="V1411" i="6"/>
  <c r="V1410" i="6"/>
  <c r="V1409" i="6"/>
  <c r="V1408" i="6"/>
  <c r="V1407" i="6"/>
  <c r="V1406" i="6"/>
  <c r="V1405" i="6"/>
  <c r="V1404" i="6"/>
  <c r="V1403" i="6"/>
  <c r="V1402" i="6"/>
  <c r="V1401" i="6"/>
  <c r="V1400" i="6"/>
  <c r="V1399" i="6"/>
  <c r="V1398" i="6"/>
  <c r="V1397" i="6"/>
  <c r="V1396" i="6"/>
  <c r="V1395" i="6"/>
  <c r="V1394" i="6"/>
  <c r="V1393" i="6"/>
  <c r="V1392" i="6"/>
  <c r="V1391" i="6"/>
  <c r="V1390" i="6"/>
  <c r="V1389" i="6"/>
  <c r="V1388" i="6"/>
  <c r="V1387" i="6"/>
  <c r="V1386" i="6"/>
  <c r="V1385" i="6"/>
  <c r="V1384" i="6"/>
  <c r="V1383" i="6"/>
  <c r="V1382" i="6"/>
  <c r="V1381" i="6"/>
  <c r="V1380" i="6"/>
  <c r="V1379" i="6"/>
  <c r="V1378" i="6"/>
  <c r="V1377" i="6"/>
  <c r="V1376" i="6"/>
  <c r="V1375" i="6"/>
  <c r="V1374" i="6"/>
  <c r="V1373" i="6"/>
  <c r="V1372" i="6"/>
  <c r="V1371" i="6"/>
  <c r="V1370" i="6"/>
  <c r="V1369" i="6"/>
  <c r="V1368" i="6"/>
  <c r="V1367" i="6"/>
  <c r="V1366" i="6"/>
  <c r="V1365" i="6"/>
  <c r="V1364" i="6"/>
  <c r="V1363" i="6"/>
  <c r="V1362" i="6"/>
  <c r="V1361" i="6"/>
  <c r="V1360" i="6"/>
  <c r="V1359" i="6"/>
  <c r="V1358" i="6"/>
  <c r="V1357" i="6"/>
  <c r="V1356" i="6"/>
  <c r="V1355" i="6"/>
  <c r="V1354" i="6"/>
  <c r="V1353" i="6"/>
  <c r="V1352" i="6"/>
  <c r="V1351" i="6"/>
  <c r="V1350" i="6"/>
  <c r="V1349" i="6"/>
  <c r="V1348" i="6"/>
  <c r="V1347" i="6"/>
  <c r="V1346" i="6"/>
  <c r="V1345" i="6"/>
  <c r="V1344" i="6"/>
  <c r="V1343" i="6"/>
  <c r="V1342" i="6"/>
  <c r="V1341" i="6"/>
  <c r="V1340" i="6"/>
  <c r="V1339" i="6"/>
  <c r="V1338" i="6"/>
  <c r="V1337" i="6"/>
  <c r="V1336" i="6"/>
  <c r="V1335" i="6"/>
  <c r="V1334" i="6"/>
  <c r="V1333" i="6"/>
  <c r="V1332" i="6"/>
  <c r="V1331" i="6"/>
  <c r="V1330" i="6"/>
  <c r="V1329" i="6"/>
  <c r="V1328" i="6"/>
  <c r="V1327" i="6"/>
  <c r="V1326" i="6"/>
  <c r="V1325" i="6"/>
  <c r="V1324" i="6"/>
  <c r="V1323" i="6"/>
  <c r="V1322" i="6"/>
  <c r="V1321" i="6"/>
  <c r="V1320" i="6"/>
  <c r="V1319" i="6"/>
  <c r="V1318" i="6"/>
  <c r="V1317" i="6"/>
  <c r="V1316" i="6"/>
  <c r="V1315" i="6"/>
  <c r="V1314" i="6"/>
  <c r="V1313" i="6"/>
  <c r="V1312" i="6"/>
  <c r="V1311" i="6"/>
  <c r="V1310" i="6"/>
  <c r="V1309" i="6"/>
  <c r="V1308" i="6"/>
  <c r="V1307" i="6"/>
  <c r="V1306" i="6"/>
  <c r="V1305" i="6"/>
  <c r="V1304" i="6"/>
  <c r="V1303" i="6"/>
  <c r="V1302" i="6"/>
  <c r="V1301" i="6"/>
  <c r="V1300" i="6"/>
  <c r="V1299" i="6"/>
  <c r="V1298" i="6"/>
  <c r="V1297" i="6"/>
  <c r="V1296" i="6"/>
  <c r="V1295" i="6"/>
  <c r="V1294" i="6"/>
  <c r="V1293" i="6"/>
  <c r="V1292" i="6"/>
  <c r="V1291" i="6"/>
  <c r="V1290" i="6"/>
  <c r="V1289" i="6"/>
  <c r="V1288" i="6"/>
  <c r="V1287" i="6"/>
  <c r="V1286" i="6"/>
  <c r="V1285" i="6"/>
  <c r="V1284" i="6"/>
  <c r="V1283" i="6"/>
  <c r="V1282" i="6"/>
  <c r="V1281" i="6"/>
  <c r="V1280" i="6"/>
  <c r="V1279" i="6"/>
  <c r="V1278" i="6"/>
  <c r="V1277" i="6"/>
  <c r="V1276" i="6"/>
  <c r="V1275" i="6"/>
  <c r="V1274" i="6"/>
  <c r="V1273" i="6"/>
  <c r="V1272" i="6"/>
  <c r="V1271" i="6"/>
  <c r="V1270" i="6"/>
  <c r="V1269" i="6"/>
  <c r="V1268" i="6"/>
  <c r="V1267" i="6"/>
  <c r="V1266" i="6"/>
  <c r="V1265" i="6"/>
  <c r="V1264" i="6"/>
  <c r="V1263" i="6"/>
  <c r="V1262" i="6"/>
  <c r="V1261" i="6"/>
  <c r="V1260" i="6"/>
  <c r="V1259" i="6"/>
  <c r="V1258" i="6"/>
  <c r="V1257" i="6"/>
  <c r="V1256" i="6"/>
  <c r="V1255" i="6"/>
  <c r="V1254" i="6"/>
  <c r="V1253" i="6"/>
  <c r="V1252" i="6"/>
  <c r="V1251" i="6"/>
  <c r="V1250" i="6"/>
  <c r="V1249" i="6"/>
  <c r="V1248" i="6"/>
  <c r="V1247" i="6"/>
  <c r="V1246" i="6"/>
  <c r="V1245" i="6"/>
  <c r="V1244" i="6"/>
  <c r="V1243" i="6"/>
  <c r="V1242" i="6"/>
  <c r="V1241" i="6"/>
  <c r="V1240" i="6"/>
  <c r="V1239" i="6"/>
  <c r="V1238" i="6"/>
  <c r="V1237" i="6"/>
  <c r="V1236" i="6"/>
  <c r="V1235" i="6"/>
  <c r="V1234" i="6"/>
  <c r="V1233" i="6"/>
  <c r="V1232" i="6"/>
  <c r="V1231" i="6"/>
  <c r="V1230" i="6"/>
  <c r="V1229" i="6"/>
  <c r="V1228" i="6"/>
  <c r="V1227" i="6"/>
  <c r="V1226" i="6"/>
  <c r="V1225" i="6"/>
  <c r="V1224" i="6"/>
  <c r="V1223" i="6"/>
  <c r="V1222" i="6"/>
  <c r="V1221" i="6"/>
  <c r="V1220" i="6"/>
  <c r="V1219" i="6"/>
  <c r="V1218" i="6"/>
  <c r="V1217" i="6"/>
  <c r="V1216" i="6"/>
  <c r="V1215" i="6"/>
  <c r="V1214" i="6"/>
  <c r="V1213" i="6"/>
  <c r="V1212" i="6"/>
  <c r="V1211" i="6"/>
  <c r="V1210" i="6"/>
  <c r="V1209" i="6"/>
  <c r="V1208" i="6"/>
  <c r="V1207" i="6"/>
  <c r="V1206" i="6"/>
  <c r="V1205" i="6"/>
  <c r="V1204" i="6"/>
  <c r="V1203" i="6"/>
  <c r="V1202" i="6"/>
  <c r="V1201" i="6"/>
  <c r="V1200" i="6"/>
  <c r="V1199" i="6"/>
  <c r="V1198" i="6"/>
  <c r="V1197" i="6"/>
  <c r="V1196" i="6"/>
  <c r="V1195" i="6"/>
  <c r="V1194" i="6"/>
  <c r="V1193" i="6"/>
  <c r="V1192" i="6"/>
  <c r="V1191" i="6"/>
  <c r="V1190" i="6"/>
  <c r="V1189" i="6"/>
  <c r="V1188" i="6"/>
  <c r="V1187" i="6"/>
  <c r="V1186" i="6"/>
  <c r="V1185" i="6"/>
  <c r="V1184" i="6"/>
  <c r="V1183" i="6"/>
  <c r="V1182" i="6"/>
  <c r="V1181" i="6"/>
  <c r="V1180" i="6"/>
  <c r="V1179" i="6"/>
  <c r="V1178" i="6"/>
  <c r="V1177" i="6"/>
  <c r="V1176" i="6"/>
  <c r="V1175" i="6"/>
  <c r="V1174" i="6"/>
  <c r="V1173" i="6"/>
  <c r="V1172" i="6"/>
  <c r="V1171" i="6"/>
  <c r="V1170" i="6"/>
  <c r="V1169" i="6"/>
  <c r="V1168" i="6"/>
  <c r="V1167" i="6"/>
  <c r="V1166" i="6"/>
  <c r="V1165" i="6"/>
  <c r="V1164" i="6"/>
  <c r="V1163" i="6"/>
  <c r="V1162" i="6"/>
  <c r="V1161" i="6"/>
  <c r="V1160" i="6"/>
  <c r="V1159" i="6"/>
  <c r="V1158" i="6"/>
  <c r="V1157" i="6"/>
  <c r="V1156" i="6"/>
  <c r="V1155" i="6"/>
  <c r="V1154" i="6"/>
  <c r="V1153" i="6"/>
  <c r="V1152" i="6"/>
  <c r="V1151" i="6"/>
  <c r="V1150" i="6"/>
  <c r="V1149" i="6"/>
  <c r="V1148" i="6"/>
  <c r="V1147" i="6"/>
  <c r="V1146" i="6"/>
  <c r="V1145" i="6"/>
  <c r="V1144" i="6"/>
  <c r="V1143" i="6"/>
  <c r="V1142" i="6"/>
  <c r="V1141" i="6"/>
  <c r="V1140" i="6"/>
  <c r="V1139" i="6"/>
  <c r="V1138" i="6"/>
  <c r="V1137" i="6"/>
  <c r="V1136" i="6"/>
  <c r="V1135" i="6"/>
  <c r="V1134" i="6"/>
  <c r="V1133" i="6"/>
  <c r="V1132" i="6"/>
  <c r="V1131" i="6"/>
  <c r="V1130" i="6"/>
  <c r="V1129" i="6"/>
  <c r="V1128" i="6"/>
  <c r="V1127" i="6"/>
  <c r="V1126" i="6"/>
  <c r="V1125" i="6"/>
  <c r="V1124" i="6"/>
  <c r="V1123" i="6"/>
  <c r="V1122" i="6"/>
  <c r="V1121" i="6"/>
  <c r="V1120" i="6"/>
  <c r="V1119" i="6"/>
  <c r="V1118" i="6"/>
  <c r="V1117" i="6"/>
  <c r="V1116" i="6"/>
  <c r="V1115" i="6"/>
  <c r="V1114" i="6"/>
  <c r="V1113" i="6"/>
  <c r="V1112" i="6"/>
  <c r="V1111" i="6"/>
  <c r="V1110" i="6"/>
  <c r="V1109" i="6"/>
  <c r="V1108" i="6"/>
  <c r="V1107" i="6"/>
  <c r="V1106" i="6"/>
  <c r="V1105" i="6"/>
  <c r="V1104" i="6"/>
  <c r="V1103" i="6"/>
  <c r="V1102" i="6"/>
  <c r="V1101" i="6"/>
  <c r="V1100" i="6"/>
  <c r="V1099" i="6"/>
  <c r="V1098" i="6"/>
  <c r="V1097" i="6"/>
  <c r="V1096" i="6"/>
  <c r="V1095" i="6"/>
  <c r="V1094" i="6"/>
  <c r="V1093" i="6"/>
  <c r="V1092" i="6"/>
  <c r="V1091" i="6"/>
  <c r="V1090" i="6"/>
  <c r="V1089" i="6"/>
  <c r="V1088" i="6"/>
  <c r="V1087" i="6"/>
  <c r="V1086" i="6"/>
  <c r="V1085" i="6"/>
  <c r="V1084" i="6"/>
  <c r="V1083" i="6"/>
  <c r="V1082" i="6"/>
  <c r="V1081" i="6"/>
  <c r="V1080" i="6"/>
  <c r="V1079" i="6"/>
  <c r="V1078" i="6"/>
  <c r="V1077" i="6"/>
  <c r="V1076" i="6"/>
  <c r="V1075" i="6"/>
  <c r="V1074" i="6"/>
  <c r="V1073" i="6"/>
  <c r="V1072" i="6"/>
  <c r="V1071" i="6"/>
  <c r="V1070" i="6"/>
  <c r="V1069" i="6"/>
  <c r="V1068" i="6"/>
  <c r="V1067" i="6"/>
  <c r="V1066" i="6"/>
  <c r="V1065" i="6"/>
  <c r="V1064" i="6"/>
  <c r="V1063" i="6"/>
  <c r="V1062" i="6"/>
  <c r="V1061" i="6"/>
  <c r="V1060" i="6"/>
  <c r="V1059" i="6"/>
  <c r="V1058" i="6"/>
  <c r="V1057" i="6"/>
  <c r="V1056" i="6"/>
  <c r="V1055" i="6"/>
  <c r="V1054" i="6"/>
  <c r="V1053" i="6"/>
  <c r="V1052" i="6"/>
  <c r="V1051" i="6"/>
  <c r="V1050" i="6"/>
  <c r="V1049" i="6"/>
  <c r="V1048" i="6"/>
  <c r="V1047" i="6"/>
  <c r="V1046" i="6"/>
  <c r="V1045" i="6"/>
  <c r="V1044" i="6"/>
  <c r="V1043" i="6"/>
  <c r="V1042" i="6"/>
  <c r="V1041" i="6"/>
  <c r="V1040" i="6"/>
  <c r="V1039" i="6"/>
  <c r="V1038" i="6"/>
  <c r="V1037" i="6"/>
  <c r="V1036" i="6"/>
  <c r="V1035" i="6"/>
  <c r="V1034" i="6"/>
  <c r="V1033" i="6"/>
  <c r="V1032" i="6"/>
  <c r="V1031" i="6"/>
  <c r="V1030" i="6"/>
  <c r="V1029" i="6"/>
  <c r="V1028" i="6"/>
  <c r="V1027" i="6"/>
  <c r="V1026" i="6"/>
  <c r="V1025" i="6"/>
  <c r="V1024" i="6"/>
  <c r="V1023" i="6"/>
  <c r="V1022" i="6"/>
  <c r="V1021" i="6"/>
  <c r="V1020" i="6"/>
  <c r="V1019" i="6"/>
  <c r="V1018" i="6"/>
  <c r="V1017" i="6"/>
  <c r="V1016" i="6"/>
  <c r="V1015" i="6"/>
  <c r="V1014" i="6"/>
  <c r="V1013" i="6"/>
  <c r="V1012" i="6"/>
  <c r="V1011" i="6"/>
  <c r="V1010" i="6"/>
  <c r="V1009" i="6"/>
  <c r="V1008" i="6"/>
  <c r="V1007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H7" i="1" s="1"/>
  <c r="V286" i="2"/>
  <c r="V287" i="2"/>
  <c r="V288" i="2"/>
  <c r="V5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M270" i="2"/>
  <c r="M144" i="2"/>
  <c r="F17" i="1"/>
  <c r="F11" i="1"/>
  <c r="F12" i="1"/>
  <c r="M16" i="8"/>
  <c r="AE16" i="8"/>
  <c r="AN16" i="8"/>
  <c r="AW16" i="8"/>
  <c r="M6" i="7"/>
  <c r="AE6" i="7"/>
  <c r="AN6" i="7"/>
  <c r="AW6" i="7"/>
  <c r="M7" i="7"/>
  <c r="AE7" i="7"/>
  <c r="AN7" i="7"/>
  <c r="AW7" i="7"/>
  <c r="M8" i="7"/>
  <c r="AE8" i="7"/>
  <c r="AN8" i="7"/>
  <c r="AW8" i="7"/>
  <c r="M9" i="7"/>
  <c r="AE9" i="7"/>
  <c r="AN9" i="7"/>
  <c r="AW9" i="7"/>
  <c r="M10" i="7"/>
  <c r="AE10" i="7"/>
  <c r="AN10" i="7"/>
  <c r="AW10" i="7"/>
  <c r="M11" i="7"/>
  <c r="AE11" i="7"/>
  <c r="AN11" i="7"/>
  <c r="AW11" i="7"/>
  <c r="M12" i="7"/>
  <c r="AE12" i="7"/>
  <c r="AN12" i="7"/>
  <c r="AW12" i="7"/>
  <c r="M13" i="7"/>
  <c r="AE13" i="7"/>
  <c r="AN13" i="7"/>
  <c r="AW13" i="7"/>
  <c r="M14" i="7"/>
  <c r="AE14" i="7"/>
  <c r="AN14" i="7"/>
  <c r="AW14" i="7"/>
  <c r="M15" i="7"/>
  <c r="AE15" i="7"/>
  <c r="AN15" i="7"/>
  <c r="AW15" i="7"/>
  <c r="M16" i="7"/>
  <c r="AE16" i="7"/>
  <c r="AN16" i="7"/>
  <c r="AW16" i="7"/>
  <c r="M17" i="7"/>
  <c r="AE17" i="7"/>
  <c r="AN17" i="7"/>
  <c r="AW17" i="7"/>
  <c r="M18" i="7"/>
  <c r="AE18" i="7"/>
  <c r="AN18" i="7"/>
  <c r="AW18" i="7"/>
  <c r="M19" i="7"/>
  <c r="AE19" i="7"/>
  <c r="AN19" i="7"/>
  <c r="AW19" i="7"/>
  <c r="M20" i="7"/>
  <c r="AE20" i="7"/>
  <c r="AN20" i="7"/>
  <c r="AW20" i="7"/>
  <c r="M21" i="7"/>
  <c r="AE21" i="7"/>
  <c r="AN21" i="7"/>
  <c r="AW21" i="7"/>
  <c r="M22" i="7"/>
  <c r="AE22" i="7"/>
  <c r="AN22" i="7"/>
  <c r="AW22" i="7"/>
  <c r="M23" i="7"/>
  <c r="AE23" i="7"/>
  <c r="AN23" i="7"/>
  <c r="AW23" i="7"/>
  <c r="M24" i="7"/>
  <c r="AE24" i="7"/>
  <c r="AN24" i="7"/>
  <c r="AW24" i="7"/>
  <c r="M25" i="7"/>
  <c r="AE25" i="7"/>
  <c r="AN25" i="7"/>
  <c r="AW25" i="7"/>
  <c r="M26" i="7"/>
  <c r="AE26" i="7"/>
  <c r="AN26" i="7"/>
  <c r="AW26" i="7"/>
  <c r="M27" i="7"/>
  <c r="AE27" i="7"/>
  <c r="AN27" i="7"/>
  <c r="AW27" i="7"/>
  <c r="M28" i="7"/>
  <c r="AE28" i="7"/>
  <c r="AN28" i="7"/>
  <c r="AW28" i="7"/>
  <c r="M29" i="7"/>
  <c r="AE29" i="7"/>
  <c r="AN29" i="7"/>
  <c r="AW29" i="7"/>
  <c r="M30" i="7"/>
  <c r="AE30" i="7"/>
  <c r="AN30" i="7"/>
  <c r="AW30" i="7"/>
  <c r="M31" i="7"/>
  <c r="AE31" i="7"/>
  <c r="AN31" i="7"/>
  <c r="AW31" i="7"/>
  <c r="M32" i="7"/>
  <c r="AE32" i="7"/>
  <c r="AN32" i="7"/>
  <c r="AW32" i="7"/>
  <c r="M33" i="7"/>
  <c r="AE33" i="7"/>
  <c r="AN33" i="7"/>
  <c r="AW33" i="7"/>
  <c r="M34" i="7"/>
  <c r="AE34" i="7"/>
  <c r="AN34" i="7"/>
  <c r="AW34" i="7"/>
  <c r="M35" i="7"/>
  <c r="AE35" i="7"/>
  <c r="AN35" i="7"/>
  <c r="AW35" i="7"/>
  <c r="M36" i="7"/>
  <c r="AE36" i="7"/>
  <c r="AN36" i="7"/>
  <c r="AW36" i="7"/>
  <c r="M37" i="7"/>
  <c r="AE37" i="7"/>
  <c r="AN37" i="7"/>
  <c r="AW37" i="7"/>
  <c r="M38" i="7"/>
  <c r="AE38" i="7"/>
  <c r="AN38" i="7"/>
  <c r="AW38" i="7"/>
  <c r="M39" i="7"/>
  <c r="AE39" i="7"/>
  <c r="AN39" i="7"/>
  <c r="AW39" i="7"/>
  <c r="M40" i="7"/>
  <c r="AE40" i="7"/>
  <c r="AN40" i="7"/>
  <c r="AW40" i="7"/>
  <c r="M41" i="7"/>
  <c r="AE41" i="7"/>
  <c r="AN41" i="7"/>
  <c r="AW41" i="7"/>
  <c r="M42" i="7"/>
  <c r="AE42" i="7"/>
  <c r="AN42" i="7"/>
  <c r="AW42" i="7"/>
  <c r="M43" i="7"/>
  <c r="AE43" i="7"/>
  <c r="AN43" i="7"/>
  <c r="AW43" i="7"/>
  <c r="M44" i="7"/>
  <c r="AE44" i="7"/>
  <c r="AN44" i="7"/>
  <c r="AW44" i="7"/>
  <c r="M45" i="7"/>
  <c r="AE45" i="7"/>
  <c r="AN45" i="7"/>
  <c r="AW45" i="7"/>
  <c r="M46" i="7"/>
  <c r="AE46" i="7"/>
  <c r="AN46" i="7"/>
  <c r="AW46" i="7"/>
  <c r="M47" i="7"/>
  <c r="AE47" i="7"/>
  <c r="AN47" i="7"/>
  <c r="AW47" i="7"/>
  <c r="M48" i="7"/>
  <c r="AE48" i="7"/>
  <c r="AN48" i="7"/>
  <c r="AW48" i="7"/>
  <c r="M49" i="7"/>
  <c r="AE49" i="7"/>
  <c r="AN49" i="7"/>
  <c r="AW49" i="7"/>
  <c r="M50" i="7"/>
  <c r="AE50" i="7"/>
  <c r="AN50" i="7"/>
  <c r="AW50" i="7"/>
  <c r="M51" i="7"/>
  <c r="AE51" i="7"/>
  <c r="AN51" i="7"/>
  <c r="AW51" i="7"/>
  <c r="M52" i="7"/>
  <c r="AE52" i="7"/>
  <c r="AN52" i="7"/>
  <c r="AW52" i="7"/>
  <c r="M53" i="7"/>
  <c r="AE53" i="7"/>
  <c r="AN53" i="7"/>
  <c r="AW53" i="7"/>
  <c r="M54" i="7"/>
  <c r="AE54" i="7"/>
  <c r="AN54" i="7"/>
  <c r="AW54" i="7"/>
  <c r="M55" i="7"/>
  <c r="AE55" i="7"/>
  <c r="AN55" i="7"/>
  <c r="AW55" i="7"/>
  <c r="M56" i="7"/>
  <c r="AE56" i="7"/>
  <c r="AN56" i="7"/>
  <c r="AW56" i="7"/>
  <c r="M57" i="7"/>
  <c r="AE57" i="7"/>
  <c r="AN57" i="7"/>
  <c r="AW57" i="7"/>
  <c r="M58" i="7"/>
  <c r="AE58" i="7"/>
  <c r="AN58" i="7"/>
  <c r="AW58" i="7"/>
  <c r="M59" i="7"/>
  <c r="AE59" i="7"/>
  <c r="AN59" i="7"/>
  <c r="AW59" i="7"/>
  <c r="M60" i="7"/>
  <c r="AE60" i="7"/>
  <c r="AN60" i="7"/>
  <c r="AW60" i="7"/>
  <c r="M61" i="7"/>
  <c r="AE61" i="7"/>
  <c r="AN61" i="7"/>
  <c r="AW61" i="7"/>
  <c r="M62" i="7"/>
  <c r="AE62" i="7"/>
  <c r="AN62" i="7"/>
  <c r="AW62" i="7"/>
  <c r="M63" i="7"/>
  <c r="AE63" i="7"/>
  <c r="AN63" i="7"/>
  <c r="AW63" i="7"/>
  <c r="M64" i="7"/>
  <c r="AE64" i="7"/>
  <c r="AN64" i="7"/>
  <c r="AW64" i="7"/>
  <c r="M65" i="7"/>
  <c r="AE65" i="7"/>
  <c r="AN65" i="7"/>
  <c r="AW65" i="7"/>
  <c r="M66" i="7"/>
  <c r="AE66" i="7"/>
  <c r="AN66" i="7"/>
  <c r="AW66" i="7"/>
  <c r="M67" i="7"/>
  <c r="AE67" i="7"/>
  <c r="AN67" i="7"/>
  <c r="AW67" i="7"/>
  <c r="M68" i="7"/>
  <c r="AE68" i="7"/>
  <c r="AN68" i="7"/>
  <c r="AW68" i="7"/>
  <c r="M69" i="7"/>
  <c r="AE69" i="7"/>
  <c r="AN69" i="7"/>
  <c r="AW69" i="7"/>
  <c r="M70" i="7"/>
  <c r="AE70" i="7"/>
  <c r="AN70" i="7"/>
  <c r="AW70" i="7"/>
  <c r="M71" i="7"/>
  <c r="AE71" i="7"/>
  <c r="AN71" i="7"/>
  <c r="AW71" i="7"/>
  <c r="M72" i="7"/>
  <c r="AE72" i="7"/>
  <c r="AN72" i="7"/>
  <c r="AW72" i="7"/>
  <c r="M73" i="7"/>
  <c r="AE73" i="7"/>
  <c r="AN73" i="7"/>
  <c r="AW73" i="7"/>
  <c r="M74" i="7"/>
  <c r="AE74" i="7"/>
  <c r="AN74" i="7"/>
  <c r="AW74" i="7"/>
  <c r="M75" i="7"/>
  <c r="AE75" i="7"/>
  <c r="AN75" i="7"/>
  <c r="AW75" i="7"/>
  <c r="M76" i="7"/>
  <c r="AE76" i="7"/>
  <c r="AN76" i="7"/>
  <c r="AW76" i="7"/>
  <c r="M77" i="7"/>
  <c r="AE77" i="7"/>
  <c r="AN77" i="7"/>
  <c r="AW77" i="7"/>
  <c r="M78" i="7"/>
  <c r="AE78" i="7"/>
  <c r="AN78" i="7"/>
  <c r="AW78" i="7"/>
  <c r="M79" i="7"/>
  <c r="AE79" i="7"/>
  <c r="AN79" i="7"/>
  <c r="AW79" i="7"/>
  <c r="M80" i="7"/>
  <c r="AE80" i="7"/>
  <c r="AN80" i="7"/>
  <c r="AW80" i="7"/>
  <c r="M81" i="7"/>
  <c r="AE81" i="7"/>
  <c r="AN81" i="7"/>
  <c r="AW81" i="7"/>
  <c r="M82" i="7"/>
  <c r="AE82" i="7"/>
  <c r="AN82" i="7"/>
  <c r="AW82" i="7"/>
  <c r="M83" i="7"/>
  <c r="AE83" i="7"/>
  <c r="AN83" i="7"/>
  <c r="AW83" i="7"/>
  <c r="M84" i="7"/>
  <c r="AE84" i="7"/>
  <c r="AN84" i="7"/>
  <c r="AW84" i="7"/>
  <c r="M85" i="7"/>
  <c r="AE85" i="7"/>
  <c r="AN85" i="7"/>
  <c r="AW85" i="7"/>
  <c r="M86" i="7"/>
  <c r="AE86" i="7"/>
  <c r="AN86" i="7"/>
  <c r="AW86" i="7"/>
  <c r="M87" i="7"/>
  <c r="AE87" i="7"/>
  <c r="AN87" i="7"/>
  <c r="AW87" i="7"/>
  <c r="M88" i="7"/>
  <c r="AE88" i="7"/>
  <c r="AN88" i="7"/>
  <c r="AW88" i="7"/>
  <c r="M89" i="7"/>
  <c r="AE89" i="7"/>
  <c r="AN89" i="7"/>
  <c r="AW89" i="7"/>
  <c r="M90" i="7"/>
  <c r="AE90" i="7"/>
  <c r="AN90" i="7"/>
  <c r="AW90" i="7"/>
  <c r="M91" i="7"/>
  <c r="AE91" i="7"/>
  <c r="AN91" i="7"/>
  <c r="AW91" i="7"/>
  <c r="M92" i="7"/>
  <c r="AE92" i="7"/>
  <c r="AN92" i="7"/>
  <c r="AW92" i="7"/>
  <c r="M93" i="7"/>
  <c r="AE93" i="7"/>
  <c r="AN93" i="7"/>
  <c r="AW93" i="7"/>
  <c r="M94" i="7"/>
  <c r="AE94" i="7"/>
  <c r="AN94" i="7"/>
  <c r="AW94" i="7"/>
  <c r="M95" i="7"/>
  <c r="AE95" i="7"/>
  <c r="AN95" i="7"/>
  <c r="AW95" i="7"/>
  <c r="M96" i="7"/>
  <c r="AE96" i="7"/>
  <c r="AN96" i="7"/>
  <c r="AW96" i="7"/>
  <c r="M97" i="7"/>
  <c r="AE97" i="7"/>
  <c r="AN97" i="7"/>
  <c r="AW97" i="7"/>
  <c r="M98" i="7"/>
  <c r="AE98" i="7"/>
  <c r="AN98" i="7"/>
  <c r="AW98" i="7"/>
  <c r="M99" i="7"/>
  <c r="AE99" i="7"/>
  <c r="AN99" i="7"/>
  <c r="AW99" i="7"/>
  <c r="M100" i="7"/>
  <c r="AE100" i="7"/>
  <c r="AN100" i="7"/>
  <c r="AW100" i="7"/>
  <c r="M101" i="7"/>
  <c r="AE101" i="7"/>
  <c r="AN101" i="7"/>
  <c r="AW101" i="7"/>
  <c r="M102" i="7"/>
  <c r="AE102" i="7"/>
  <c r="AN102" i="7"/>
  <c r="AW102" i="7"/>
  <c r="M103" i="7"/>
  <c r="AE103" i="7"/>
  <c r="AN103" i="7"/>
  <c r="AW103" i="7"/>
  <c r="M104" i="7"/>
  <c r="AE104" i="7"/>
  <c r="AN104" i="7"/>
  <c r="AW104" i="7"/>
  <c r="M105" i="7"/>
  <c r="AE105" i="7"/>
  <c r="AN105" i="7"/>
  <c r="AW105" i="7"/>
  <c r="M106" i="7"/>
  <c r="AE106" i="7"/>
  <c r="AN106" i="7"/>
  <c r="AW106" i="7"/>
  <c r="M107" i="7"/>
  <c r="AE107" i="7"/>
  <c r="AN107" i="7"/>
  <c r="AW107" i="7"/>
  <c r="M108" i="7"/>
  <c r="AE108" i="7"/>
  <c r="AN108" i="7"/>
  <c r="AW108" i="7"/>
  <c r="M109" i="7"/>
  <c r="AE109" i="7"/>
  <c r="AN109" i="7"/>
  <c r="AW109" i="7"/>
  <c r="M110" i="7"/>
  <c r="AE110" i="7"/>
  <c r="AN110" i="7"/>
  <c r="AW110" i="7"/>
  <c r="M111" i="7"/>
  <c r="AE111" i="7"/>
  <c r="AN111" i="7"/>
  <c r="AW111" i="7"/>
  <c r="M112" i="7"/>
  <c r="AE112" i="7"/>
  <c r="AN112" i="7"/>
  <c r="AW112" i="7"/>
  <c r="M113" i="7"/>
  <c r="AE113" i="7"/>
  <c r="AN113" i="7"/>
  <c r="AW113" i="7"/>
  <c r="M114" i="7"/>
  <c r="AE114" i="7"/>
  <c r="AN114" i="7"/>
  <c r="AW114" i="7"/>
  <c r="M115" i="7"/>
  <c r="AE115" i="7"/>
  <c r="AN115" i="7"/>
  <c r="AW115" i="7"/>
  <c r="M116" i="7"/>
  <c r="AE116" i="7"/>
  <c r="AN116" i="7"/>
  <c r="AW116" i="7"/>
  <c r="M117" i="7"/>
  <c r="AE117" i="7"/>
  <c r="AN117" i="7"/>
  <c r="AW117" i="7"/>
  <c r="AW292" i="13"/>
  <c r="AN292" i="13"/>
  <c r="AE292" i="13"/>
  <c r="M292" i="13"/>
  <c r="AW291" i="13"/>
  <c r="AN291" i="13"/>
  <c r="AE291" i="13"/>
  <c r="M291" i="13"/>
  <c r="AW290" i="13"/>
  <c r="AN290" i="13"/>
  <c r="AE290" i="13"/>
  <c r="M290" i="13"/>
  <c r="AW289" i="13"/>
  <c r="AN289" i="13"/>
  <c r="AE289" i="13"/>
  <c r="M289" i="13"/>
  <c r="AW288" i="13"/>
  <c r="AN288" i="13"/>
  <c r="AE288" i="13"/>
  <c r="M288" i="13"/>
  <c r="AW287" i="13"/>
  <c r="AN287" i="13"/>
  <c r="AE287" i="13"/>
  <c r="M287" i="13"/>
  <c r="AW286" i="13"/>
  <c r="AN286" i="13"/>
  <c r="AE286" i="13"/>
  <c r="M286" i="13"/>
  <c r="AW285" i="13"/>
  <c r="AN285" i="13"/>
  <c r="AE285" i="13"/>
  <c r="M285" i="13"/>
  <c r="AW284" i="13"/>
  <c r="AN284" i="13"/>
  <c r="AE284" i="13"/>
  <c r="M284" i="13"/>
  <c r="AW283" i="13"/>
  <c r="AN283" i="13"/>
  <c r="AE283" i="13"/>
  <c r="M283" i="13"/>
  <c r="AW282" i="13"/>
  <c r="AN282" i="13"/>
  <c r="AE282" i="13"/>
  <c r="M282" i="13"/>
  <c r="AW281" i="13"/>
  <c r="AN281" i="13"/>
  <c r="AE281" i="13"/>
  <c r="M281" i="13"/>
  <c r="AW280" i="13"/>
  <c r="AN280" i="13"/>
  <c r="AE280" i="13"/>
  <c r="M280" i="13"/>
  <c r="AW279" i="13"/>
  <c r="AN279" i="13"/>
  <c r="AE279" i="13"/>
  <c r="M279" i="13"/>
  <c r="AW278" i="13"/>
  <c r="AN278" i="13"/>
  <c r="AE278" i="13"/>
  <c r="M278" i="13"/>
  <c r="AW277" i="13"/>
  <c r="AN277" i="13"/>
  <c r="AE277" i="13"/>
  <c r="M277" i="13"/>
  <c r="AW276" i="13"/>
  <c r="AN276" i="13"/>
  <c r="AE276" i="13"/>
  <c r="M276" i="13"/>
  <c r="AW275" i="13"/>
  <c r="AN275" i="13"/>
  <c r="AE275" i="13"/>
  <c r="M275" i="13"/>
  <c r="AW274" i="13"/>
  <c r="AN274" i="13"/>
  <c r="AE274" i="13"/>
  <c r="M274" i="13"/>
  <c r="AW273" i="13"/>
  <c r="AN273" i="13"/>
  <c r="AE273" i="13"/>
  <c r="M273" i="13"/>
  <c r="AW272" i="13"/>
  <c r="AN272" i="13"/>
  <c r="AE272" i="13"/>
  <c r="M272" i="13"/>
  <c r="AW271" i="13"/>
  <c r="AN271" i="13"/>
  <c r="AE271" i="13"/>
  <c r="M271" i="13"/>
  <c r="AW270" i="13"/>
  <c r="AN270" i="13"/>
  <c r="AE270" i="13"/>
  <c r="M270" i="13"/>
  <c r="AW269" i="13"/>
  <c r="AN269" i="13"/>
  <c r="AE269" i="13"/>
  <c r="M269" i="13"/>
  <c r="AW268" i="13"/>
  <c r="AN268" i="13"/>
  <c r="AE268" i="13"/>
  <c r="M268" i="13"/>
  <c r="AW267" i="13"/>
  <c r="AN267" i="13"/>
  <c r="AE267" i="13"/>
  <c r="M267" i="13"/>
  <c r="AW266" i="13"/>
  <c r="AN266" i="13"/>
  <c r="AE266" i="13"/>
  <c r="M266" i="13"/>
  <c r="AW265" i="13"/>
  <c r="AN265" i="13"/>
  <c r="AE265" i="13"/>
  <c r="M265" i="13"/>
  <c r="AW264" i="13"/>
  <c r="AN264" i="13"/>
  <c r="AE264" i="13"/>
  <c r="M264" i="13"/>
  <c r="AW263" i="13"/>
  <c r="AN263" i="13"/>
  <c r="AE263" i="13"/>
  <c r="M263" i="13"/>
  <c r="AW262" i="13"/>
  <c r="AN262" i="13"/>
  <c r="AE262" i="13"/>
  <c r="M262" i="13"/>
  <c r="AW261" i="13"/>
  <c r="AN261" i="13"/>
  <c r="AE261" i="13"/>
  <c r="M261" i="13"/>
  <c r="AW260" i="13"/>
  <c r="AN260" i="13"/>
  <c r="AE260" i="13"/>
  <c r="M260" i="13"/>
  <c r="AW259" i="13"/>
  <c r="AN259" i="13"/>
  <c r="AE259" i="13"/>
  <c r="M259" i="13"/>
  <c r="AW258" i="13"/>
  <c r="AN258" i="13"/>
  <c r="AE258" i="13"/>
  <c r="M258" i="13"/>
  <c r="AW257" i="13"/>
  <c r="AN257" i="13"/>
  <c r="AE257" i="13"/>
  <c r="M257" i="13"/>
  <c r="AW256" i="13"/>
  <c r="AN256" i="13"/>
  <c r="AE256" i="13"/>
  <c r="M256" i="13"/>
  <c r="AW255" i="13"/>
  <c r="AN255" i="13"/>
  <c r="AE255" i="13"/>
  <c r="M255" i="13"/>
  <c r="AW254" i="13"/>
  <c r="AN254" i="13"/>
  <c r="AE254" i="13"/>
  <c r="M254" i="13"/>
  <c r="AW253" i="13"/>
  <c r="AN253" i="13"/>
  <c r="AE253" i="13"/>
  <c r="M253" i="13"/>
  <c r="AW252" i="13"/>
  <c r="AN252" i="13"/>
  <c r="AE252" i="13"/>
  <c r="M252" i="13"/>
  <c r="AW251" i="13"/>
  <c r="AN251" i="13"/>
  <c r="AE251" i="13"/>
  <c r="M251" i="13"/>
  <c r="AW250" i="13"/>
  <c r="AN250" i="13"/>
  <c r="AE250" i="13"/>
  <c r="M250" i="13"/>
  <c r="AW249" i="13"/>
  <c r="AN249" i="13"/>
  <c r="AE249" i="13"/>
  <c r="M249" i="13"/>
  <c r="AW248" i="13"/>
  <c r="AN248" i="13"/>
  <c r="AE248" i="13"/>
  <c r="M248" i="13"/>
  <c r="AW247" i="13"/>
  <c r="AN247" i="13"/>
  <c r="AE247" i="13"/>
  <c r="M247" i="13"/>
  <c r="AW246" i="13"/>
  <c r="AN246" i="13"/>
  <c r="AE246" i="13"/>
  <c r="M246" i="13"/>
  <c r="AW245" i="13"/>
  <c r="AN245" i="13"/>
  <c r="AE245" i="13"/>
  <c r="M245" i="13"/>
  <c r="AW244" i="13"/>
  <c r="AN244" i="13"/>
  <c r="AE244" i="13"/>
  <c r="M244" i="13"/>
  <c r="AW243" i="13"/>
  <c r="AN243" i="13"/>
  <c r="AE243" i="13"/>
  <c r="M243" i="13"/>
  <c r="AW242" i="13"/>
  <c r="AN242" i="13"/>
  <c r="AE242" i="13"/>
  <c r="M242" i="13"/>
  <c r="AW241" i="13"/>
  <c r="AN241" i="13"/>
  <c r="AE241" i="13"/>
  <c r="M241" i="13"/>
  <c r="AW240" i="13"/>
  <c r="AN240" i="13"/>
  <c r="AE240" i="13"/>
  <c r="M240" i="13"/>
  <c r="AW239" i="13"/>
  <c r="AN239" i="13"/>
  <c r="AE239" i="13"/>
  <c r="M239" i="13"/>
  <c r="AW238" i="13"/>
  <c r="AN238" i="13"/>
  <c r="AE238" i="13"/>
  <c r="M238" i="13"/>
  <c r="AW237" i="13"/>
  <c r="AN237" i="13"/>
  <c r="AE237" i="13"/>
  <c r="M237" i="13"/>
  <c r="AW236" i="13"/>
  <c r="AN236" i="13"/>
  <c r="AE236" i="13"/>
  <c r="M236" i="13"/>
  <c r="AW235" i="13"/>
  <c r="AN235" i="13"/>
  <c r="AE235" i="13"/>
  <c r="M235" i="13"/>
  <c r="AW234" i="13"/>
  <c r="AN234" i="13"/>
  <c r="AE234" i="13"/>
  <c r="M234" i="13"/>
  <c r="AW233" i="13"/>
  <c r="AN233" i="13"/>
  <c r="AE233" i="13"/>
  <c r="M233" i="13"/>
  <c r="AW232" i="13"/>
  <c r="AN232" i="13"/>
  <c r="AE232" i="13"/>
  <c r="M232" i="13"/>
  <c r="AW231" i="13"/>
  <c r="AN231" i="13"/>
  <c r="AE231" i="13"/>
  <c r="M231" i="13"/>
  <c r="AW230" i="13"/>
  <c r="AN230" i="13"/>
  <c r="AE230" i="13"/>
  <c r="M230" i="13"/>
  <c r="AW229" i="13"/>
  <c r="AN229" i="13"/>
  <c r="AE229" i="13"/>
  <c r="M229" i="13"/>
  <c r="AW228" i="13"/>
  <c r="AN228" i="13"/>
  <c r="AE228" i="13"/>
  <c r="M228" i="13"/>
  <c r="AW227" i="13"/>
  <c r="AN227" i="13"/>
  <c r="AE227" i="13"/>
  <c r="M227" i="13"/>
  <c r="AW226" i="13"/>
  <c r="AN226" i="13"/>
  <c r="AE226" i="13"/>
  <c r="M226" i="13"/>
  <c r="AW225" i="13"/>
  <c r="AN225" i="13"/>
  <c r="AE225" i="13"/>
  <c r="M225" i="13"/>
  <c r="AW224" i="13"/>
  <c r="AN224" i="13"/>
  <c r="AE224" i="13"/>
  <c r="M224" i="13"/>
  <c r="AW223" i="13"/>
  <c r="AN223" i="13"/>
  <c r="AE223" i="13"/>
  <c r="M223" i="13"/>
  <c r="AW222" i="13"/>
  <c r="AN222" i="13"/>
  <c r="AE222" i="13"/>
  <c r="M222" i="13"/>
  <c r="AW221" i="13"/>
  <c r="AN221" i="13"/>
  <c r="AE221" i="13"/>
  <c r="M221" i="13"/>
  <c r="AW220" i="13"/>
  <c r="AN220" i="13"/>
  <c r="AE220" i="13"/>
  <c r="M220" i="13"/>
  <c r="AW219" i="13"/>
  <c r="AN219" i="13"/>
  <c r="AE219" i="13"/>
  <c r="M219" i="13"/>
  <c r="AW218" i="13"/>
  <c r="AN218" i="13"/>
  <c r="AE218" i="13"/>
  <c r="M218" i="13"/>
  <c r="AW217" i="13"/>
  <c r="AN217" i="13"/>
  <c r="AE217" i="13"/>
  <c r="M217" i="13"/>
  <c r="AW216" i="13"/>
  <c r="AN216" i="13"/>
  <c r="AE216" i="13"/>
  <c r="M216" i="13"/>
  <c r="AW215" i="13"/>
  <c r="AN215" i="13"/>
  <c r="AE215" i="13"/>
  <c r="M215" i="13"/>
  <c r="AW214" i="13"/>
  <c r="AN214" i="13"/>
  <c r="AE214" i="13"/>
  <c r="M214" i="13"/>
  <c r="AW213" i="13"/>
  <c r="AN213" i="13"/>
  <c r="AE213" i="13"/>
  <c r="M213" i="13"/>
  <c r="AW212" i="13"/>
  <c r="AN212" i="13"/>
  <c r="AE212" i="13"/>
  <c r="M212" i="13"/>
  <c r="AW211" i="13"/>
  <c r="AN211" i="13"/>
  <c r="AE211" i="13"/>
  <c r="M211" i="13"/>
  <c r="AW210" i="13"/>
  <c r="AN210" i="13"/>
  <c r="AE210" i="13"/>
  <c r="M210" i="13"/>
  <c r="AW209" i="13"/>
  <c r="AN209" i="13"/>
  <c r="AE209" i="13"/>
  <c r="M209" i="13"/>
  <c r="AW208" i="13"/>
  <c r="AN208" i="13"/>
  <c r="AE208" i="13"/>
  <c r="M208" i="13"/>
  <c r="AW207" i="13"/>
  <c r="AN207" i="13"/>
  <c r="AE207" i="13"/>
  <c r="M207" i="13"/>
  <c r="AW206" i="13"/>
  <c r="AN206" i="13"/>
  <c r="AE206" i="13"/>
  <c r="M206" i="13"/>
  <c r="AW205" i="13"/>
  <c r="AN205" i="13"/>
  <c r="AE205" i="13"/>
  <c r="M205" i="13"/>
  <c r="AW204" i="13"/>
  <c r="AN204" i="13"/>
  <c r="AE204" i="13"/>
  <c r="M204" i="13"/>
  <c r="AW203" i="13"/>
  <c r="AN203" i="13"/>
  <c r="AE203" i="13"/>
  <c r="M203" i="13"/>
  <c r="AW202" i="13"/>
  <c r="AN202" i="13"/>
  <c r="AE202" i="13"/>
  <c r="M202" i="13"/>
  <c r="AW201" i="13"/>
  <c r="AN201" i="13"/>
  <c r="AE201" i="13"/>
  <c r="M201" i="13"/>
  <c r="AW200" i="13"/>
  <c r="AN200" i="13"/>
  <c r="AE200" i="13"/>
  <c r="M200" i="13"/>
  <c r="AW199" i="13"/>
  <c r="AN199" i="13"/>
  <c r="AE199" i="13"/>
  <c r="M199" i="13"/>
  <c r="AW198" i="13"/>
  <c r="AN198" i="13"/>
  <c r="AE198" i="13"/>
  <c r="M198" i="13"/>
  <c r="AW197" i="13"/>
  <c r="AN197" i="13"/>
  <c r="AE197" i="13"/>
  <c r="M197" i="13"/>
  <c r="AW196" i="13"/>
  <c r="AN196" i="13"/>
  <c r="AE196" i="13"/>
  <c r="M196" i="13"/>
  <c r="AW195" i="13"/>
  <c r="AN195" i="13"/>
  <c r="AE195" i="13"/>
  <c r="M195" i="13"/>
  <c r="AW194" i="13"/>
  <c r="AN194" i="13"/>
  <c r="AE194" i="13"/>
  <c r="M194" i="13"/>
  <c r="AW193" i="13"/>
  <c r="AN193" i="13"/>
  <c r="AE193" i="13"/>
  <c r="M193" i="13"/>
  <c r="AW192" i="13"/>
  <c r="AN192" i="13"/>
  <c r="AE192" i="13"/>
  <c r="M192" i="13"/>
  <c r="AW191" i="13"/>
  <c r="AN191" i="13"/>
  <c r="AE191" i="13"/>
  <c r="M191" i="13"/>
  <c r="AW190" i="13"/>
  <c r="AN190" i="13"/>
  <c r="AE190" i="13"/>
  <c r="M190" i="13"/>
  <c r="AW189" i="13"/>
  <c r="AN189" i="13"/>
  <c r="AE189" i="13"/>
  <c r="M189" i="13"/>
  <c r="AW188" i="13"/>
  <c r="AN188" i="13"/>
  <c r="AE188" i="13"/>
  <c r="M188" i="13"/>
  <c r="AW187" i="13"/>
  <c r="AN187" i="13"/>
  <c r="AE187" i="13"/>
  <c r="M187" i="13"/>
  <c r="AW186" i="13"/>
  <c r="AN186" i="13"/>
  <c r="AE186" i="13"/>
  <c r="M186" i="13"/>
  <c r="AW185" i="13"/>
  <c r="AN185" i="13"/>
  <c r="AE185" i="13"/>
  <c r="M185" i="13"/>
  <c r="AW184" i="13"/>
  <c r="AN184" i="13"/>
  <c r="AE184" i="13"/>
  <c r="M184" i="13"/>
  <c r="AW183" i="13"/>
  <c r="AN183" i="13"/>
  <c r="AE183" i="13"/>
  <c r="M183" i="13"/>
  <c r="AW182" i="13"/>
  <c r="AN182" i="13"/>
  <c r="AE182" i="13"/>
  <c r="M182" i="13"/>
  <c r="AW181" i="13"/>
  <c r="AN181" i="13"/>
  <c r="AE181" i="13"/>
  <c r="M181" i="13"/>
  <c r="AW180" i="13"/>
  <c r="AN180" i="13"/>
  <c r="AE180" i="13"/>
  <c r="M180" i="13"/>
  <c r="AW179" i="13"/>
  <c r="AN179" i="13"/>
  <c r="AE179" i="13"/>
  <c r="M179" i="13"/>
  <c r="AW178" i="13"/>
  <c r="AN178" i="13"/>
  <c r="AE178" i="13"/>
  <c r="M178" i="13"/>
  <c r="AW177" i="13"/>
  <c r="AN177" i="13"/>
  <c r="AE177" i="13"/>
  <c r="M177" i="13"/>
  <c r="AW176" i="13"/>
  <c r="AN176" i="13"/>
  <c r="AE176" i="13"/>
  <c r="M176" i="13"/>
  <c r="AW175" i="13"/>
  <c r="AN175" i="13"/>
  <c r="AE175" i="13"/>
  <c r="M175" i="13"/>
  <c r="AW174" i="13"/>
  <c r="AN174" i="13"/>
  <c r="AE174" i="13"/>
  <c r="M174" i="13"/>
  <c r="AW173" i="13"/>
  <c r="AN173" i="13"/>
  <c r="AE173" i="13"/>
  <c r="M173" i="13"/>
  <c r="AW172" i="13"/>
  <c r="AN172" i="13"/>
  <c r="AE172" i="13"/>
  <c r="M172" i="13"/>
  <c r="AW171" i="13"/>
  <c r="AN171" i="13"/>
  <c r="AE171" i="13"/>
  <c r="M171" i="13"/>
  <c r="AW170" i="13"/>
  <c r="AN170" i="13"/>
  <c r="AE170" i="13"/>
  <c r="M170" i="13"/>
  <c r="AW169" i="13"/>
  <c r="AN169" i="13"/>
  <c r="AE169" i="13"/>
  <c r="M169" i="13"/>
  <c r="AW168" i="13"/>
  <c r="AN168" i="13"/>
  <c r="AE168" i="13"/>
  <c r="M168" i="13"/>
  <c r="AW167" i="13"/>
  <c r="AN167" i="13"/>
  <c r="AE167" i="13"/>
  <c r="M167" i="13"/>
  <c r="AW166" i="13"/>
  <c r="AN166" i="13"/>
  <c r="AE166" i="13"/>
  <c r="M166" i="13"/>
  <c r="AW165" i="13"/>
  <c r="AN165" i="13"/>
  <c r="AE165" i="13"/>
  <c r="M165" i="13"/>
  <c r="AW164" i="13"/>
  <c r="AN164" i="13"/>
  <c r="AE164" i="13"/>
  <c r="M164" i="13"/>
  <c r="AW163" i="13"/>
  <c r="AN163" i="13"/>
  <c r="AE163" i="13"/>
  <c r="M163" i="13"/>
  <c r="AW162" i="13"/>
  <c r="AN162" i="13"/>
  <c r="AE162" i="13"/>
  <c r="M162" i="13"/>
  <c r="AW161" i="13"/>
  <c r="AN161" i="13"/>
  <c r="AE161" i="13"/>
  <c r="M161" i="13"/>
  <c r="AW160" i="13"/>
  <c r="AN160" i="13"/>
  <c r="AE160" i="13"/>
  <c r="M160" i="13"/>
  <c r="AW159" i="13"/>
  <c r="AN159" i="13"/>
  <c r="AE159" i="13"/>
  <c r="M159" i="13"/>
  <c r="AW158" i="13"/>
  <c r="AN158" i="13"/>
  <c r="AE158" i="13"/>
  <c r="M158" i="13"/>
  <c r="AW157" i="13"/>
  <c r="AN157" i="13"/>
  <c r="AE157" i="13"/>
  <c r="M157" i="13"/>
  <c r="AW156" i="13"/>
  <c r="AN156" i="13"/>
  <c r="AE156" i="13"/>
  <c r="M156" i="13"/>
  <c r="AW155" i="13"/>
  <c r="AN155" i="13"/>
  <c r="AE155" i="13"/>
  <c r="M155" i="13"/>
  <c r="AW154" i="13"/>
  <c r="AN154" i="13"/>
  <c r="AE154" i="13"/>
  <c r="M154" i="13"/>
  <c r="AW153" i="13"/>
  <c r="AN153" i="13"/>
  <c r="AE153" i="13"/>
  <c r="M153" i="13"/>
  <c r="AW152" i="13"/>
  <c r="AN152" i="13"/>
  <c r="AE152" i="13"/>
  <c r="M152" i="13"/>
  <c r="AW151" i="13"/>
  <c r="AN151" i="13"/>
  <c r="AE151" i="13"/>
  <c r="M151" i="13"/>
  <c r="AW150" i="13"/>
  <c r="AN150" i="13"/>
  <c r="AE150" i="13"/>
  <c r="M150" i="13"/>
  <c r="AW149" i="13"/>
  <c r="AN149" i="13"/>
  <c r="AE149" i="13"/>
  <c r="M149" i="13"/>
  <c r="AW148" i="13"/>
  <c r="AN148" i="13"/>
  <c r="AE148" i="13"/>
  <c r="M148" i="13"/>
  <c r="AW147" i="13"/>
  <c r="AN147" i="13"/>
  <c r="AE147" i="13"/>
  <c r="M147" i="13"/>
  <c r="AW146" i="13"/>
  <c r="AN146" i="13"/>
  <c r="AE146" i="13"/>
  <c r="M146" i="13"/>
  <c r="AW145" i="13"/>
  <c r="AN145" i="13"/>
  <c r="AE145" i="13"/>
  <c r="M145" i="13"/>
  <c r="AW144" i="13"/>
  <c r="AN144" i="13"/>
  <c r="AE144" i="13"/>
  <c r="M144" i="13"/>
  <c r="AW143" i="13"/>
  <c r="AN143" i="13"/>
  <c r="AE143" i="13"/>
  <c r="M143" i="13"/>
  <c r="AW142" i="13"/>
  <c r="AN142" i="13"/>
  <c r="AE142" i="13"/>
  <c r="M142" i="13"/>
  <c r="AW141" i="13"/>
  <c r="AN141" i="13"/>
  <c r="AE141" i="13"/>
  <c r="M141" i="13"/>
  <c r="AW140" i="13"/>
  <c r="AN140" i="13"/>
  <c r="AE140" i="13"/>
  <c r="M140" i="13"/>
  <c r="AW139" i="13"/>
  <c r="AN139" i="13"/>
  <c r="AE139" i="13"/>
  <c r="M139" i="13"/>
  <c r="AW138" i="13"/>
  <c r="AN138" i="13"/>
  <c r="AE138" i="13"/>
  <c r="M138" i="13"/>
  <c r="AW137" i="13"/>
  <c r="AN137" i="13"/>
  <c r="AE137" i="13"/>
  <c r="M137" i="13"/>
  <c r="AW136" i="13"/>
  <c r="AN136" i="13"/>
  <c r="AE136" i="13"/>
  <c r="M136" i="13"/>
  <c r="AW135" i="13"/>
  <c r="AN135" i="13"/>
  <c r="AE135" i="13"/>
  <c r="M135" i="13"/>
  <c r="AW134" i="13"/>
  <c r="AN134" i="13"/>
  <c r="AE134" i="13"/>
  <c r="M134" i="13"/>
  <c r="AW133" i="13"/>
  <c r="AN133" i="13"/>
  <c r="AE133" i="13"/>
  <c r="M133" i="13"/>
  <c r="AW132" i="13"/>
  <c r="AN132" i="13"/>
  <c r="AE132" i="13"/>
  <c r="M132" i="13"/>
  <c r="AW131" i="13"/>
  <c r="AN131" i="13"/>
  <c r="AE131" i="13"/>
  <c r="M131" i="13"/>
  <c r="AW130" i="13"/>
  <c r="AN130" i="13"/>
  <c r="AE130" i="13"/>
  <c r="M130" i="13"/>
  <c r="AW129" i="13"/>
  <c r="AN129" i="13"/>
  <c r="AE129" i="13"/>
  <c r="M129" i="13"/>
  <c r="AW128" i="13"/>
  <c r="AN128" i="13"/>
  <c r="AE128" i="13"/>
  <c r="M128" i="13"/>
  <c r="AW127" i="13"/>
  <c r="AN127" i="13"/>
  <c r="AE127" i="13"/>
  <c r="M127" i="13"/>
  <c r="AW126" i="13"/>
  <c r="AN126" i="13"/>
  <c r="AE126" i="13"/>
  <c r="M126" i="13"/>
  <c r="AW125" i="13"/>
  <c r="AN125" i="13"/>
  <c r="AE125" i="13"/>
  <c r="M125" i="13"/>
  <c r="AW124" i="13"/>
  <c r="AN124" i="13"/>
  <c r="AE124" i="13"/>
  <c r="M124" i="13"/>
  <c r="AW123" i="13"/>
  <c r="AN123" i="13"/>
  <c r="AE123" i="13"/>
  <c r="M123" i="13"/>
  <c r="AW122" i="13"/>
  <c r="AN122" i="13"/>
  <c r="AE122" i="13"/>
  <c r="M122" i="13"/>
  <c r="AW121" i="13"/>
  <c r="AN121" i="13"/>
  <c r="AE121" i="13"/>
  <c r="M121" i="13"/>
  <c r="AW120" i="13"/>
  <c r="AN120" i="13"/>
  <c r="AE120" i="13"/>
  <c r="M120" i="13"/>
  <c r="AW119" i="13"/>
  <c r="AN119" i="13"/>
  <c r="AE119" i="13"/>
  <c r="M119" i="13"/>
  <c r="AW118" i="13"/>
  <c r="AN118" i="13"/>
  <c r="AE118" i="13"/>
  <c r="M118" i="13"/>
  <c r="AW117" i="13"/>
  <c r="AN117" i="13"/>
  <c r="AE117" i="13"/>
  <c r="M117" i="13"/>
  <c r="AW116" i="13"/>
  <c r="AN116" i="13"/>
  <c r="AE116" i="13"/>
  <c r="M116" i="13"/>
  <c r="AW115" i="13"/>
  <c r="AN115" i="13"/>
  <c r="AE115" i="13"/>
  <c r="M115" i="13"/>
  <c r="AW114" i="13"/>
  <c r="AN114" i="13"/>
  <c r="AE114" i="13"/>
  <c r="M114" i="13"/>
  <c r="AW113" i="13"/>
  <c r="AN113" i="13"/>
  <c r="AE113" i="13"/>
  <c r="M113" i="13"/>
  <c r="AW112" i="13"/>
  <c r="AN112" i="13"/>
  <c r="AE112" i="13"/>
  <c r="M112" i="13"/>
  <c r="AW111" i="13"/>
  <c r="AN111" i="13"/>
  <c r="AE111" i="13"/>
  <c r="M111" i="13"/>
  <c r="AW110" i="13"/>
  <c r="AN110" i="13"/>
  <c r="AE110" i="13"/>
  <c r="M110" i="13"/>
  <c r="AW109" i="13"/>
  <c r="AN109" i="13"/>
  <c r="AE109" i="13"/>
  <c r="M109" i="13"/>
  <c r="AW108" i="13"/>
  <c r="AN108" i="13"/>
  <c r="AE108" i="13"/>
  <c r="M108" i="13"/>
  <c r="AW107" i="13"/>
  <c r="AN107" i="13"/>
  <c r="AE107" i="13"/>
  <c r="M107" i="13"/>
  <c r="AW106" i="13"/>
  <c r="AN106" i="13"/>
  <c r="AE106" i="13"/>
  <c r="M106" i="13"/>
  <c r="AW105" i="13"/>
  <c r="AN105" i="13"/>
  <c r="AE105" i="13"/>
  <c r="M105" i="13"/>
  <c r="AW104" i="13"/>
  <c r="AN104" i="13"/>
  <c r="AE104" i="13"/>
  <c r="M104" i="13"/>
  <c r="AW103" i="13"/>
  <c r="AN103" i="13"/>
  <c r="AE103" i="13"/>
  <c r="M103" i="13"/>
  <c r="AW102" i="13"/>
  <c r="AN102" i="13"/>
  <c r="AE102" i="13"/>
  <c r="M102" i="13"/>
  <c r="AW101" i="13"/>
  <c r="AN101" i="13"/>
  <c r="AE101" i="13"/>
  <c r="M101" i="13"/>
  <c r="AW100" i="13"/>
  <c r="AN100" i="13"/>
  <c r="AE100" i="13"/>
  <c r="M100" i="13"/>
  <c r="AW99" i="13"/>
  <c r="AN99" i="13"/>
  <c r="AE99" i="13"/>
  <c r="M99" i="13"/>
  <c r="AW98" i="13"/>
  <c r="AN98" i="13"/>
  <c r="AE98" i="13"/>
  <c r="M98" i="13"/>
  <c r="AW97" i="13"/>
  <c r="AN97" i="13"/>
  <c r="AE97" i="13"/>
  <c r="M97" i="13"/>
  <c r="AW96" i="13"/>
  <c r="AN96" i="13"/>
  <c r="AE96" i="13"/>
  <c r="M96" i="13"/>
  <c r="AW95" i="13"/>
  <c r="AN95" i="13"/>
  <c r="AE95" i="13"/>
  <c r="M95" i="13"/>
  <c r="AW94" i="13"/>
  <c r="AN94" i="13"/>
  <c r="AE94" i="13"/>
  <c r="M94" i="13"/>
  <c r="AW93" i="13"/>
  <c r="AN93" i="13"/>
  <c r="AE93" i="13"/>
  <c r="M93" i="13"/>
  <c r="AW92" i="13"/>
  <c r="AN92" i="13"/>
  <c r="AE92" i="13"/>
  <c r="M92" i="13"/>
  <c r="AW91" i="13"/>
  <c r="AN91" i="13"/>
  <c r="AE91" i="13"/>
  <c r="M91" i="13"/>
  <c r="AW90" i="13"/>
  <c r="AN90" i="13"/>
  <c r="AE90" i="13"/>
  <c r="M90" i="13"/>
  <c r="AW89" i="13"/>
  <c r="AN89" i="13"/>
  <c r="AE89" i="13"/>
  <c r="M89" i="13"/>
  <c r="AW88" i="13"/>
  <c r="AN88" i="13"/>
  <c r="AE88" i="13"/>
  <c r="M88" i="13"/>
  <c r="AW87" i="13"/>
  <c r="AN87" i="13"/>
  <c r="AE87" i="13"/>
  <c r="M87" i="13"/>
  <c r="AW86" i="13"/>
  <c r="AN86" i="13"/>
  <c r="AE86" i="13"/>
  <c r="M86" i="13"/>
  <c r="AW85" i="13"/>
  <c r="AN85" i="13"/>
  <c r="AE85" i="13"/>
  <c r="M85" i="13"/>
  <c r="AW84" i="13"/>
  <c r="AN84" i="13"/>
  <c r="AE84" i="13"/>
  <c r="M84" i="13"/>
  <c r="AW83" i="13"/>
  <c r="AN83" i="13"/>
  <c r="AE83" i="13"/>
  <c r="M83" i="13"/>
  <c r="AW82" i="13"/>
  <c r="AN82" i="13"/>
  <c r="AE82" i="13"/>
  <c r="M82" i="13"/>
  <c r="AW81" i="13"/>
  <c r="AN81" i="13"/>
  <c r="AE81" i="13"/>
  <c r="M81" i="13"/>
  <c r="AW80" i="13"/>
  <c r="AN80" i="13"/>
  <c r="AE80" i="13"/>
  <c r="M80" i="13"/>
  <c r="AW79" i="13"/>
  <c r="AN79" i="13"/>
  <c r="AE79" i="13"/>
  <c r="M79" i="13"/>
  <c r="AW78" i="13"/>
  <c r="AN78" i="13"/>
  <c r="AE78" i="13"/>
  <c r="M78" i="13"/>
  <c r="AW77" i="13"/>
  <c r="AN77" i="13"/>
  <c r="AE77" i="13"/>
  <c r="M77" i="13"/>
  <c r="AW76" i="13"/>
  <c r="AN76" i="13"/>
  <c r="AE76" i="13"/>
  <c r="M76" i="13"/>
  <c r="AW75" i="13"/>
  <c r="AN75" i="13"/>
  <c r="AE75" i="13"/>
  <c r="M75" i="13"/>
  <c r="AW74" i="13"/>
  <c r="AN74" i="13"/>
  <c r="AE74" i="13"/>
  <c r="M74" i="13"/>
  <c r="AW73" i="13"/>
  <c r="AN73" i="13"/>
  <c r="AE73" i="13"/>
  <c r="M73" i="13"/>
  <c r="AW72" i="13"/>
  <c r="AN72" i="13"/>
  <c r="AE72" i="13"/>
  <c r="M72" i="13"/>
  <c r="AW71" i="13"/>
  <c r="AN71" i="13"/>
  <c r="AE71" i="13"/>
  <c r="M71" i="13"/>
  <c r="AW70" i="13"/>
  <c r="AN70" i="13"/>
  <c r="AE70" i="13"/>
  <c r="M70" i="13"/>
  <c r="AW69" i="13"/>
  <c r="AN69" i="13"/>
  <c r="AE69" i="13"/>
  <c r="M69" i="13"/>
  <c r="AW68" i="13"/>
  <c r="AN68" i="13"/>
  <c r="AE68" i="13"/>
  <c r="M68" i="13"/>
  <c r="AW67" i="13"/>
  <c r="AN67" i="13"/>
  <c r="AE67" i="13"/>
  <c r="M67" i="13"/>
  <c r="AW66" i="13"/>
  <c r="AN66" i="13"/>
  <c r="AE66" i="13"/>
  <c r="M66" i="13"/>
  <c r="AW65" i="13"/>
  <c r="AN65" i="13"/>
  <c r="AE65" i="13"/>
  <c r="M65" i="13"/>
  <c r="AW64" i="13"/>
  <c r="AN64" i="13"/>
  <c r="AE64" i="13"/>
  <c r="M64" i="13"/>
  <c r="AW63" i="13"/>
  <c r="AN63" i="13"/>
  <c r="AE63" i="13"/>
  <c r="M63" i="13"/>
  <c r="AW62" i="13"/>
  <c r="AN62" i="13"/>
  <c r="AE62" i="13"/>
  <c r="M62" i="13"/>
  <c r="AW61" i="13"/>
  <c r="AN61" i="13"/>
  <c r="AE61" i="13"/>
  <c r="M61" i="13"/>
  <c r="AW60" i="13"/>
  <c r="AN60" i="13"/>
  <c r="AE60" i="13"/>
  <c r="M60" i="13"/>
  <c r="AW59" i="13"/>
  <c r="AN59" i="13"/>
  <c r="AE59" i="13"/>
  <c r="M59" i="13"/>
  <c r="AW58" i="13"/>
  <c r="AN58" i="13"/>
  <c r="AE58" i="13"/>
  <c r="M58" i="13"/>
  <c r="AW57" i="13"/>
  <c r="AN57" i="13"/>
  <c r="AE57" i="13"/>
  <c r="M57" i="13"/>
  <c r="AW56" i="13"/>
  <c r="AN56" i="13"/>
  <c r="AE56" i="13"/>
  <c r="M56" i="13"/>
  <c r="AW55" i="13"/>
  <c r="AN55" i="13"/>
  <c r="AE55" i="13"/>
  <c r="M55" i="13"/>
  <c r="AW54" i="13"/>
  <c r="AN54" i="13"/>
  <c r="AE54" i="13"/>
  <c r="M54" i="13"/>
  <c r="AW53" i="13"/>
  <c r="AN53" i="13"/>
  <c r="AE53" i="13"/>
  <c r="M53" i="13"/>
  <c r="AW52" i="13"/>
  <c r="AN52" i="13"/>
  <c r="AE52" i="13"/>
  <c r="M52" i="13"/>
  <c r="AW51" i="13"/>
  <c r="AN51" i="13"/>
  <c r="AE51" i="13"/>
  <c r="M51" i="13"/>
  <c r="AW50" i="13"/>
  <c r="AN50" i="13"/>
  <c r="AE50" i="13"/>
  <c r="M50" i="13"/>
  <c r="AW49" i="13"/>
  <c r="AN49" i="13"/>
  <c r="AE49" i="13"/>
  <c r="M49" i="13"/>
  <c r="AW48" i="13"/>
  <c r="AN48" i="13"/>
  <c r="AE48" i="13"/>
  <c r="M48" i="13"/>
  <c r="AW47" i="13"/>
  <c r="AN47" i="13"/>
  <c r="AE47" i="13"/>
  <c r="M47" i="13"/>
  <c r="AW46" i="13"/>
  <c r="AN46" i="13"/>
  <c r="AE46" i="13"/>
  <c r="M46" i="13"/>
  <c r="AW45" i="13"/>
  <c r="AN45" i="13"/>
  <c r="AE45" i="13"/>
  <c r="M45" i="13"/>
  <c r="AW44" i="13"/>
  <c r="AN44" i="13"/>
  <c r="AE44" i="13"/>
  <c r="M44" i="13"/>
  <c r="AW43" i="13"/>
  <c r="AN43" i="13"/>
  <c r="AE43" i="13"/>
  <c r="M43" i="13"/>
  <c r="AW42" i="13"/>
  <c r="AN42" i="13"/>
  <c r="AE42" i="13"/>
  <c r="M42" i="13"/>
  <c r="AW41" i="13"/>
  <c r="AN41" i="13"/>
  <c r="AE41" i="13"/>
  <c r="M41" i="13"/>
  <c r="AW40" i="13"/>
  <c r="AN40" i="13"/>
  <c r="AE40" i="13"/>
  <c r="M40" i="13"/>
  <c r="AW39" i="13"/>
  <c r="AN39" i="13"/>
  <c r="AE39" i="13"/>
  <c r="M39" i="13"/>
  <c r="AW38" i="13"/>
  <c r="AN38" i="13"/>
  <c r="AE38" i="13"/>
  <c r="M38" i="13"/>
  <c r="AW37" i="13"/>
  <c r="AN37" i="13"/>
  <c r="AE37" i="13"/>
  <c r="M37" i="13"/>
  <c r="AW36" i="13"/>
  <c r="AN36" i="13"/>
  <c r="AE36" i="13"/>
  <c r="M36" i="13"/>
  <c r="AW35" i="13"/>
  <c r="AN35" i="13"/>
  <c r="AE35" i="13"/>
  <c r="M35" i="13"/>
  <c r="AW34" i="13"/>
  <c r="AN34" i="13"/>
  <c r="AE34" i="13"/>
  <c r="M34" i="13"/>
  <c r="AW33" i="13"/>
  <c r="AN33" i="13"/>
  <c r="AE33" i="13"/>
  <c r="M33" i="13"/>
  <c r="AW32" i="13"/>
  <c r="AN32" i="13"/>
  <c r="AE32" i="13"/>
  <c r="M32" i="13"/>
  <c r="AW31" i="13"/>
  <c r="AN31" i="13"/>
  <c r="AE31" i="13"/>
  <c r="M31" i="13"/>
  <c r="AW30" i="13"/>
  <c r="AN30" i="13"/>
  <c r="AE30" i="13"/>
  <c r="M30" i="13"/>
  <c r="AW29" i="13"/>
  <c r="AN29" i="13"/>
  <c r="AE29" i="13"/>
  <c r="M29" i="13"/>
  <c r="AW28" i="13"/>
  <c r="AN28" i="13"/>
  <c r="AE28" i="13"/>
  <c r="M28" i="13"/>
  <c r="AW27" i="13"/>
  <c r="AN27" i="13"/>
  <c r="AE27" i="13"/>
  <c r="M27" i="13"/>
  <c r="AW26" i="13"/>
  <c r="AN26" i="13"/>
  <c r="AE26" i="13"/>
  <c r="M26" i="13"/>
  <c r="AW25" i="13"/>
  <c r="AN25" i="13"/>
  <c r="AE25" i="13"/>
  <c r="M25" i="13"/>
  <c r="AW24" i="13"/>
  <c r="AN24" i="13"/>
  <c r="AE24" i="13"/>
  <c r="M24" i="13"/>
  <c r="AW23" i="13"/>
  <c r="AN23" i="13"/>
  <c r="AE23" i="13"/>
  <c r="M23" i="13"/>
  <c r="AW22" i="13"/>
  <c r="AN22" i="13"/>
  <c r="AE22" i="13"/>
  <c r="M22" i="13"/>
  <c r="AW21" i="13"/>
  <c r="AN21" i="13"/>
  <c r="AE21" i="13"/>
  <c r="M21" i="13"/>
  <c r="AW20" i="13"/>
  <c r="AN20" i="13"/>
  <c r="AE20" i="13"/>
  <c r="M20" i="13"/>
  <c r="AW19" i="13"/>
  <c r="AN19" i="13"/>
  <c r="AE19" i="13"/>
  <c r="M19" i="13"/>
  <c r="AW18" i="13"/>
  <c r="AN18" i="13"/>
  <c r="AE18" i="13"/>
  <c r="M18" i="13"/>
  <c r="AW17" i="13"/>
  <c r="AN17" i="13"/>
  <c r="AE17" i="13"/>
  <c r="M17" i="13"/>
  <c r="AW16" i="13"/>
  <c r="AN16" i="13"/>
  <c r="AE16" i="13"/>
  <c r="M16" i="13"/>
  <c r="AW15" i="13"/>
  <c r="AN15" i="13"/>
  <c r="AE15" i="13"/>
  <c r="M15" i="13"/>
  <c r="AW14" i="13"/>
  <c r="AN14" i="13"/>
  <c r="AE14" i="13"/>
  <c r="M14" i="13"/>
  <c r="AW13" i="13"/>
  <c r="AN13" i="13"/>
  <c r="AE13" i="13"/>
  <c r="M13" i="13"/>
  <c r="AW12" i="13"/>
  <c r="AN12" i="13"/>
  <c r="AE12" i="13"/>
  <c r="M12" i="13"/>
  <c r="AW11" i="13"/>
  <c r="AN11" i="13"/>
  <c r="AE11" i="13"/>
  <c r="M11" i="13"/>
  <c r="AW10" i="13"/>
  <c r="AN10" i="13"/>
  <c r="AE10" i="13"/>
  <c r="M10" i="13"/>
  <c r="AW9" i="13"/>
  <c r="AN9" i="13"/>
  <c r="AE9" i="13"/>
  <c r="M9" i="13"/>
  <c r="AW8" i="13"/>
  <c r="AN8" i="13"/>
  <c r="AE8" i="13"/>
  <c r="M8" i="13"/>
  <c r="AW7" i="13"/>
  <c r="AN7" i="13"/>
  <c r="AE7" i="13"/>
  <c r="M7" i="13"/>
  <c r="AW6" i="13"/>
  <c r="AN6" i="13"/>
  <c r="AE6" i="13"/>
  <c r="M6" i="13"/>
  <c r="AW5" i="13"/>
  <c r="AN5" i="13"/>
  <c r="AE5" i="13"/>
  <c r="M5" i="13"/>
  <c r="AW516" i="12"/>
  <c r="AN516" i="12"/>
  <c r="AE516" i="12"/>
  <c r="M516" i="12"/>
  <c r="AW515" i="12"/>
  <c r="AN515" i="12"/>
  <c r="AE515" i="12"/>
  <c r="M515" i="12"/>
  <c r="AW514" i="12"/>
  <c r="AN514" i="12"/>
  <c r="AE514" i="12"/>
  <c r="M514" i="12"/>
  <c r="AW513" i="12"/>
  <c r="AN513" i="12"/>
  <c r="AE513" i="12"/>
  <c r="M513" i="12"/>
  <c r="AW512" i="12"/>
  <c r="AN512" i="12"/>
  <c r="AE512" i="12"/>
  <c r="M512" i="12"/>
  <c r="AW511" i="12"/>
  <c r="AN511" i="12"/>
  <c r="AE511" i="12"/>
  <c r="M511" i="12"/>
  <c r="AW510" i="12"/>
  <c r="AN510" i="12"/>
  <c r="AE510" i="12"/>
  <c r="M510" i="12"/>
  <c r="AW509" i="12"/>
  <c r="AN509" i="12"/>
  <c r="AE509" i="12"/>
  <c r="M509" i="12"/>
  <c r="AW508" i="12"/>
  <c r="AN508" i="12"/>
  <c r="AE508" i="12"/>
  <c r="M508" i="12"/>
  <c r="AW507" i="12"/>
  <c r="AN507" i="12"/>
  <c r="AE507" i="12"/>
  <c r="M507" i="12"/>
  <c r="AW506" i="12"/>
  <c r="AN506" i="12"/>
  <c r="AE506" i="12"/>
  <c r="M506" i="12"/>
  <c r="AW505" i="12"/>
  <c r="AN505" i="12"/>
  <c r="AE505" i="12"/>
  <c r="M505" i="12"/>
  <c r="AW504" i="12"/>
  <c r="AN504" i="12"/>
  <c r="AE504" i="12"/>
  <c r="M504" i="12"/>
  <c r="AW503" i="12"/>
  <c r="AN503" i="12"/>
  <c r="AE503" i="12"/>
  <c r="M503" i="12"/>
  <c r="AW502" i="12"/>
  <c r="AN502" i="12"/>
  <c r="AE502" i="12"/>
  <c r="M502" i="12"/>
  <c r="AW501" i="12"/>
  <c r="AN501" i="12"/>
  <c r="AE501" i="12"/>
  <c r="M501" i="12"/>
  <c r="AW500" i="12"/>
  <c r="AN500" i="12"/>
  <c r="AE500" i="12"/>
  <c r="M500" i="12"/>
  <c r="AW499" i="12"/>
  <c r="AN499" i="12"/>
  <c r="AE499" i="12"/>
  <c r="M499" i="12"/>
  <c r="AW498" i="12"/>
  <c r="AN498" i="12"/>
  <c r="AE498" i="12"/>
  <c r="M498" i="12"/>
  <c r="AW497" i="12"/>
  <c r="AN497" i="12"/>
  <c r="AE497" i="12"/>
  <c r="M497" i="12"/>
  <c r="AW496" i="12"/>
  <c r="AN496" i="12"/>
  <c r="AE496" i="12"/>
  <c r="M496" i="12"/>
  <c r="AW495" i="12"/>
  <c r="AN495" i="12"/>
  <c r="AE495" i="12"/>
  <c r="M495" i="12"/>
  <c r="AW494" i="12"/>
  <c r="AN494" i="12"/>
  <c r="AE494" i="12"/>
  <c r="M494" i="12"/>
  <c r="AW493" i="12"/>
  <c r="AN493" i="12"/>
  <c r="AE493" i="12"/>
  <c r="M493" i="12"/>
  <c r="AW492" i="12"/>
  <c r="AN492" i="12"/>
  <c r="AE492" i="12"/>
  <c r="M492" i="12"/>
  <c r="AW491" i="12"/>
  <c r="AN491" i="12"/>
  <c r="AE491" i="12"/>
  <c r="M491" i="12"/>
  <c r="AW490" i="12"/>
  <c r="AN490" i="12"/>
  <c r="AE490" i="12"/>
  <c r="M490" i="12"/>
  <c r="AW489" i="12"/>
  <c r="AN489" i="12"/>
  <c r="AE489" i="12"/>
  <c r="M489" i="12"/>
  <c r="AW488" i="12"/>
  <c r="AN488" i="12"/>
  <c r="AE488" i="12"/>
  <c r="M488" i="12"/>
  <c r="AW487" i="12"/>
  <c r="AN487" i="12"/>
  <c r="AE487" i="12"/>
  <c r="M487" i="12"/>
  <c r="AW486" i="12"/>
  <c r="AN486" i="12"/>
  <c r="AE486" i="12"/>
  <c r="M486" i="12"/>
  <c r="AW485" i="12"/>
  <c r="AN485" i="12"/>
  <c r="AE485" i="12"/>
  <c r="M485" i="12"/>
  <c r="AW484" i="12"/>
  <c r="AN484" i="12"/>
  <c r="AE484" i="12"/>
  <c r="M484" i="12"/>
  <c r="AW483" i="12"/>
  <c r="AN483" i="12"/>
  <c r="AE483" i="12"/>
  <c r="M483" i="12"/>
  <c r="AW482" i="12"/>
  <c r="AN482" i="12"/>
  <c r="AE482" i="12"/>
  <c r="M482" i="12"/>
  <c r="AW481" i="12"/>
  <c r="AN481" i="12"/>
  <c r="AE481" i="12"/>
  <c r="M481" i="12"/>
  <c r="AW480" i="12"/>
  <c r="AN480" i="12"/>
  <c r="AE480" i="12"/>
  <c r="M480" i="12"/>
  <c r="AW479" i="12"/>
  <c r="AN479" i="12"/>
  <c r="AE479" i="12"/>
  <c r="M479" i="12"/>
  <c r="AW478" i="12"/>
  <c r="AN478" i="12"/>
  <c r="AE478" i="12"/>
  <c r="M478" i="12"/>
  <c r="AW477" i="12"/>
  <c r="AN477" i="12"/>
  <c r="AE477" i="12"/>
  <c r="M477" i="12"/>
  <c r="AW476" i="12"/>
  <c r="AN476" i="12"/>
  <c r="AE476" i="12"/>
  <c r="M476" i="12"/>
  <c r="AW475" i="12"/>
  <c r="AN475" i="12"/>
  <c r="AE475" i="12"/>
  <c r="M475" i="12"/>
  <c r="AW474" i="12"/>
  <c r="AN474" i="12"/>
  <c r="AE474" i="12"/>
  <c r="M474" i="12"/>
  <c r="AW473" i="12"/>
  <c r="AN473" i="12"/>
  <c r="AE473" i="12"/>
  <c r="M473" i="12"/>
  <c r="AW472" i="12"/>
  <c r="AN472" i="12"/>
  <c r="AE472" i="12"/>
  <c r="M472" i="12"/>
  <c r="AW471" i="12"/>
  <c r="AN471" i="12"/>
  <c r="AE471" i="12"/>
  <c r="M471" i="12"/>
  <c r="AW470" i="12"/>
  <c r="AN470" i="12"/>
  <c r="AE470" i="12"/>
  <c r="M470" i="12"/>
  <c r="AW469" i="12"/>
  <c r="AN469" i="12"/>
  <c r="AE469" i="12"/>
  <c r="M469" i="12"/>
  <c r="AW468" i="12"/>
  <c r="AN468" i="12"/>
  <c r="AE468" i="12"/>
  <c r="M468" i="12"/>
  <c r="AW467" i="12"/>
  <c r="AN467" i="12"/>
  <c r="AE467" i="12"/>
  <c r="M467" i="12"/>
  <c r="AW466" i="12"/>
  <c r="AN466" i="12"/>
  <c r="AE466" i="12"/>
  <c r="M466" i="12"/>
  <c r="AW465" i="12"/>
  <c r="AN465" i="12"/>
  <c r="AE465" i="12"/>
  <c r="M465" i="12"/>
  <c r="AW464" i="12"/>
  <c r="AN464" i="12"/>
  <c r="AE464" i="12"/>
  <c r="M464" i="12"/>
  <c r="AW463" i="12"/>
  <c r="AN463" i="12"/>
  <c r="AE463" i="12"/>
  <c r="M463" i="12"/>
  <c r="AW462" i="12"/>
  <c r="AN462" i="12"/>
  <c r="AE462" i="12"/>
  <c r="M462" i="12"/>
  <c r="AW461" i="12"/>
  <c r="AN461" i="12"/>
  <c r="AE461" i="12"/>
  <c r="M461" i="12"/>
  <c r="AW460" i="12"/>
  <c r="AN460" i="12"/>
  <c r="AE460" i="12"/>
  <c r="M460" i="12"/>
  <c r="AW459" i="12"/>
  <c r="AN459" i="12"/>
  <c r="AE459" i="12"/>
  <c r="M459" i="12"/>
  <c r="AW458" i="12"/>
  <c r="AN458" i="12"/>
  <c r="AE458" i="12"/>
  <c r="M458" i="12"/>
  <c r="AW457" i="12"/>
  <c r="AN457" i="12"/>
  <c r="AE457" i="12"/>
  <c r="M457" i="12"/>
  <c r="AW456" i="12"/>
  <c r="AN456" i="12"/>
  <c r="AE456" i="12"/>
  <c r="M456" i="12"/>
  <c r="AW455" i="12"/>
  <c r="AN455" i="12"/>
  <c r="AE455" i="12"/>
  <c r="M455" i="12"/>
  <c r="AW454" i="12"/>
  <c r="AN454" i="12"/>
  <c r="AE454" i="12"/>
  <c r="M454" i="12"/>
  <c r="AW453" i="12"/>
  <c r="AN453" i="12"/>
  <c r="AE453" i="12"/>
  <c r="M453" i="12"/>
  <c r="AW452" i="12"/>
  <c r="AN452" i="12"/>
  <c r="AE452" i="12"/>
  <c r="M452" i="12"/>
  <c r="AW451" i="12"/>
  <c r="AN451" i="12"/>
  <c r="AE451" i="12"/>
  <c r="M451" i="12"/>
  <c r="AW450" i="12"/>
  <c r="AN450" i="12"/>
  <c r="AE450" i="12"/>
  <c r="M450" i="12"/>
  <c r="AW449" i="12"/>
  <c r="AN449" i="12"/>
  <c r="AE449" i="12"/>
  <c r="M449" i="12"/>
  <c r="AW448" i="12"/>
  <c r="AN448" i="12"/>
  <c r="AE448" i="12"/>
  <c r="M448" i="12"/>
  <c r="AW447" i="12"/>
  <c r="AN447" i="12"/>
  <c r="AE447" i="12"/>
  <c r="M447" i="12"/>
  <c r="AW446" i="12"/>
  <c r="AN446" i="12"/>
  <c r="AE446" i="12"/>
  <c r="M446" i="12"/>
  <c r="AW445" i="12"/>
  <c r="AN445" i="12"/>
  <c r="AE445" i="12"/>
  <c r="M445" i="12"/>
  <c r="AW444" i="12"/>
  <c r="AN444" i="12"/>
  <c r="AE444" i="12"/>
  <c r="M444" i="12"/>
  <c r="AW443" i="12"/>
  <c r="AN443" i="12"/>
  <c r="AE443" i="12"/>
  <c r="M443" i="12"/>
  <c r="AW442" i="12"/>
  <c r="AN442" i="12"/>
  <c r="AE442" i="12"/>
  <c r="M442" i="12"/>
  <c r="AW441" i="12"/>
  <c r="AN441" i="12"/>
  <c r="AE441" i="12"/>
  <c r="M441" i="12"/>
  <c r="AW440" i="12"/>
  <c r="AN440" i="12"/>
  <c r="AE440" i="12"/>
  <c r="M440" i="12"/>
  <c r="AW439" i="12"/>
  <c r="AN439" i="12"/>
  <c r="AE439" i="12"/>
  <c r="M439" i="12"/>
  <c r="AW438" i="12"/>
  <c r="AN438" i="12"/>
  <c r="AE438" i="12"/>
  <c r="M438" i="12"/>
  <c r="AW437" i="12"/>
  <c r="AN437" i="12"/>
  <c r="AE437" i="12"/>
  <c r="M437" i="12"/>
  <c r="AW436" i="12"/>
  <c r="AN436" i="12"/>
  <c r="AE436" i="12"/>
  <c r="M436" i="12"/>
  <c r="AW435" i="12"/>
  <c r="AN435" i="12"/>
  <c r="AE435" i="12"/>
  <c r="M435" i="12"/>
  <c r="AW434" i="12"/>
  <c r="AN434" i="12"/>
  <c r="AE434" i="12"/>
  <c r="M434" i="12"/>
  <c r="AW433" i="12"/>
  <c r="AN433" i="12"/>
  <c r="AE433" i="12"/>
  <c r="M433" i="12"/>
  <c r="AW432" i="12"/>
  <c r="AN432" i="12"/>
  <c r="AE432" i="12"/>
  <c r="M432" i="12"/>
  <c r="AW431" i="12"/>
  <c r="AN431" i="12"/>
  <c r="AE431" i="12"/>
  <c r="M431" i="12"/>
  <c r="AW430" i="12"/>
  <c r="AN430" i="12"/>
  <c r="AE430" i="12"/>
  <c r="M430" i="12"/>
  <c r="AW429" i="12"/>
  <c r="AN429" i="12"/>
  <c r="AE429" i="12"/>
  <c r="M429" i="12"/>
  <c r="AW428" i="12"/>
  <c r="AN428" i="12"/>
  <c r="AE428" i="12"/>
  <c r="M428" i="12"/>
  <c r="AW427" i="12"/>
  <c r="AN427" i="12"/>
  <c r="AE427" i="12"/>
  <c r="M427" i="12"/>
  <c r="AW426" i="12"/>
  <c r="AN426" i="12"/>
  <c r="AE426" i="12"/>
  <c r="M426" i="12"/>
  <c r="AW425" i="12"/>
  <c r="AN425" i="12"/>
  <c r="AE425" i="12"/>
  <c r="M425" i="12"/>
  <c r="AW424" i="12"/>
  <c r="AN424" i="12"/>
  <c r="AE424" i="12"/>
  <c r="M424" i="12"/>
  <c r="AW423" i="12"/>
  <c r="AN423" i="12"/>
  <c r="AE423" i="12"/>
  <c r="M423" i="12"/>
  <c r="AW422" i="12"/>
  <c r="AN422" i="12"/>
  <c r="AE422" i="12"/>
  <c r="M422" i="12"/>
  <c r="AW421" i="12"/>
  <c r="AN421" i="12"/>
  <c r="AE421" i="12"/>
  <c r="M421" i="12"/>
  <c r="AW420" i="12"/>
  <c r="AN420" i="12"/>
  <c r="AE420" i="12"/>
  <c r="M420" i="12"/>
  <c r="AW419" i="12"/>
  <c r="AN419" i="12"/>
  <c r="AE419" i="12"/>
  <c r="M419" i="12"/>
  <c r="AW418" i="12"/>
  <c r="AN418" i="12"/>
  <c r="AE418" i="12"/>
  <c r="M418" i="12"/>
  <c r="AW417" i="12"/>
  <c r="AN417" i="12"/>
  <c r="AE417" i="12"/>
  <c r="M417" i="12"/>
  <c r="AW416" i="12"/>
  <c r="AN416" i="12"/>
  <c r="AE416" i="12"/>
  <c r="M416" i="12"/>
  <c r="AW415" i="12"/>
  <c r="AN415" i="12"/>
  <c r="AE415" i="12"/>
  <c r="M415" i="12"/>
  <c r="AW414" i="12"/>
  <c r="AN414" i="12"/>
  <c r="AE414" i="12"/>
  <c r="M414" i="12"/>
  <c r="AW413" i="12"/>
  <c r="AN413" i="12"/>
  <c r="AE413" i="12"/>
  <c r="M413" i="12"/>
  <c r="AW412" i="12"/>
  <c r="AN412" i="12"/>
  <c r="AE412" i="12"/>
  <c r="M412" i="12"/>
  <c r="AW411" i="12"/>
  <c r="AN411" i="12"/>
  <c r="AE411" i="12"/>
  <c r="M411" i="12"/>
  <c r="AW410" i="12"/>
  <c r="AN410" i="12"/>
  <c r="AE410" i="12"/>
  <c r="M410" i="12"/>
  <c r="AW409" i="12"/>
  <c r="AN409" i="12"/>
  <c r="AE409" i="12"/>
  <c r="M409" i="12"/>
  <c r="AW408" i="12"/>
  <c r="AN408" i="12"/>
  <c r="AE408" i="12"/>
  <c r="M408" i="12"/>
  <c r="AW407" i="12"/>
  <c r="AN407" i="12"/>
  <c r="AE407" i="12"/>
  <c r="M407" i="12"/>
  <c r="AW406" i="12"/>
  <c r="AN406" i="12"/>
  <c r="AE406" i="12"/>
  <c r="M406" i="12"/>
  <c r="AW405" i="12"/>
  <c r="AN405" i="12"/>
  <c r="AE405" i="12"/>
  <c r="M405" i="12"/>
  <c r="AW404" i="12"/>
  <c r="AN404" i="12"/>
  <c r="AE404" i="12"/>
  <c r="M404" i="12"/>
  <c r="AW403" i="12"/>
  <c r="AN403" i="12"/>
  <c r="AE403" i="12"/>
  <c r="M403" i="12"/>
  <c r="AW402" i="12"/>
  <c r="AN402" i="12"/>
  <c r="AE402" i="12"/>
  <c r="M402" i="12"/>
  <c r="AW401" i="12"/>
  <c r="AN401" i="12"/>
  <c r="AE401" i="12"/>
  <c r="M401" i="12"/>
  <c r="AW400" i="12"/>
  <c r="AN400" i="12"/>
  <c r="AE400" i="12"/>
  <c r="M400" i="12"/>
  <c r="AW399" i="12"/>
  <c r="AN399" i="12"/>
  <c r="AE399" i="12"/>
  <c r="M399" i="12"/>
  <c r="AW398" i="12"/>
  <c r="AN398" i="12"/>
  <c r="AE398" i="12"/>
  <c r="M398" i="12"/>
  <c r="AW397" i="12"/>
  <c r="AN397" i="12"/>
  <c r="AE397" i="12"/>
  <c r="M397" i="12"/>
  <c r="AW396" i="12"/>
  <c r="AN396" i="12"/>
  <c r="AE396" i="12"/>
  <c r="M396" i="12"/>
  <c r="AW395" i="12"/>
  <c r="AN395" i="12"/>
  <c r="AE395" i="12"/>
  <c r="M395" i="12"/>
  <c r="AW394" i="12"/>
  <c r="AN394" i="12"/>
  <c r="AE394" i="12"/>
  <c r="M394" i="12"/>
  <c r="AW393" i="12"/>
  <c r="AN393" i="12"/>
  <c r="AE393" i="12"/>
  <c r="M393" i="12"/>
  <c r="AW392" i="12"/>
  <c r="AN392" i="12"/>
  <c r="AE392" i="12"/>
  <c r="M392" i="12"/>
  <c r="AW391" i="12"/>
  <c r="AN391" i="12"/>
  <c r="AE391" i="12"/>
  <c r="M391" i="12"/>
  <c r="AW390" i="12"/>
  <c r="AN390" i="12"/>
  <c r="AE390" i="12"/>
  <c r="M390" i="12"/>
  <c r="AW389" i="12"/>
  <c r="AN389" i="12"/>
  <c r="AE389" i="12"/>
  <c r="M389" i="12"/>
  <c r="AW388" i="12"/>
  <c r="AN388" i="12"/>
  <c r="AE388" i="12"/>
  <c r="M388" i="12"/>
  <c r="AW387" i="12"/>
  <c r="AN387" i="12"/>
  <c r="AE387" i="12"/>
  <c r="M387" i="12"/>
  <c r="AW386" i="12"/>
  <c r="AN386" i="12"/>
  <c r="AE386" i="12"/>
  <c r="M386" i="12"/>
  <c r="AW385" i="12"/>
  <c r="AN385" i="12"/>
  <c r="AE385" i="12"/>
  <c r="M385" i="12"/>
  <c r="AW384" i="12"/>
  <c r="AN384" i="12"/>
  <c r="AE384" i="12"/>
  <c r="M384" i="12"/>
  <c r="AW383" i="12"/>
  <c r="AN383" i="12"/>
  <c r="AE383" i="12"/>
  <c r="M383" i="12"/>
  <c r="AW382" i="12"/>
  <c r="AN382" i="12"/>
  <c r="AE382" i="12"/>
  <c r="M382" i="12"/>
  <c r="AW381" i="12"/>
  <c r="AN381" i="12"/>
  <c r="AE381" i="12"/>
  <c r="M381" i="12"/>
  <c r="AW380" i="12"/>
  <c r="AN380" i="12"/>
  <c r="AE380" i="12"/>
  <c r="M380" i="12"/>
  <c r="AW379" i="12"/>
  <c r="AN379" i="12"/>
  <c r="AE379" i="12"/>
  <c r="M379" i="12"/>
  <c r="AW378" i="12"/>
  <c r="AN378" i="12"/>
  <c r="AE378" i="12"/>
  <c r="M378" i="12"/>
  <c r="AW377" i="12"/>
  <c r="AN377" i="12"/>
  <c r="AE377" i="12"/>
  <c r="M377" i="12"/>
  <c r="AW376" i="12"/>
  <c r="AN376" i="12"/>
  <c r="AE376" i="12"/>
  <c r="M376" i="12"/>
  <c r="AW375" i="12"/>
  <c r="AN375" i="12"/>
  <c r="AE375" i="12"/>
  <c r="M375" i="12"/>
  <c r="AW374" i="12"/>
  <c r="AN374" i="12"/>
  <c r="AE374" i="12"/>
  <c r="M374" i="12"/>
  <c r="AW373" i="12"/>
  <c r="AN373" i="12"/>
  <c r="AE373" i="12"/>
  <c r="M373" i="12"/>
  <c r="AW372" i="12"/>
  <c r="AN372" i="12"/>
  <c r="AE372" i="12"/>
  <c r="M372" i="12"/>
  <c r="AW371" i="12"/>
  <c r="AN371" i="12"/>
  <c r="AE371" i="12"/>
  <c r="M371" i="12"/>
  <c r="AW370" i="12"/>
  <c r="AN370" i="12"/>
  <c r="AE370" i="12"/>
  <c r="M370" i="12"/>
  <c r="AW369" i="12"/>
  <c r="AN369" i="12"/>
  <c r="AE369" i="12"/>
  <c r="M369" i="12"/>
  <c r="AW368" i="12"/>
  <c r="AN368" i="12"/>
  <c r="AE368" i="12"/>
  <c r="M368" i="12"/>
  <c r="AW367" i="12"/>
  <c r="AN367" i="12"/>
  <c r="AE367" i="12"/>
  <c r="M367" i="12"/>
  <c r="AW366" i="12"/>
  <c r="AN366" i="12"/>
  <c r="AE366" i="12"/>
  <c r="M366" i="12"/>
  <c r="AW365" i="12"/>
  <c r="AN365" i="12"/>
  <c r="AE365" i="12"/>
  <c r="M365" i="12"/>
  <c r="AW364" i="12"/>
  <c r="AN364" i="12"/>
  <c r="AE364" i="12"/>
  <c r="M364" i="12"/>
  <c r="AW363" i="12"/>
  <c r="AN363" i="12"/>
  <c r="AE363" i="12"/>
  <c r="M363" i="12"/>
  <c r="AW362" i="12"/>
  <c r="AN362" i="12"/>
  <c r="AE362" i="12"/>
  <c r="M362" i="12"/>
  <c r="AW361" i="12"/>
  <c r="AN361" i="12"/>
  <c r="AE361" i="12"/>
  <c r="M361" i="12"/>
  <c r="AW360" i="12"/>
  <c r="AN360" i="12"/>
  <c r="AE360" i="12"/>
  <c r="M360" i="12"/>
  <c r="AW359" i="12"/>
  <c r="AN359" i="12"/>
  <c r="AE359" i="12"/>
  <c r="M359" i="12"/>
  <c r="AW358" i="12"/>
  <c r="AN358" i="12"/>
  <c r="AE358" i="12"/>
  <c r="M358" i="12"/>
  <c r="AW357" i="12"/>
  <c r="AN357" i="12"/>
  <c r="AE357" i="12"/>
  <c r="M357" i="12"/>
  <c r="AW356" i="12"/>
  <c r="AN356" i="12"/>
  <c r="AE356" i="12"/>
  <c r="M356" i="12"/>
  <c r="AW355" i="12"/>
  <c r="AN355" i="12"/>
  <c r="AE355" i="12"/>
  <c r="M355" i="12"/>
  <c r="AW354" i="12"/>
  <c r="AN354" i="12"/>
  <c r="AE354" i="12"/>
  <c r="M354" i="12"/>
  <c r="AW353" i="12"/>
  <c r="AN353" i="12"/>
  <c r="AE353" i="12"/>
  <c r="M353" i="12"/>
  <c r="AW352" i="12"/>
  <c r="AN352" i="12"/>
  <c r="AE352" i="12"/>
  <c r="M352" i="12"/>
  <c r="AW351" i="12"/>
  <c r="AN351" i="12"/>
  <c r="AE351" i="12"/>
  <c r="M351" i="12"/>
  <c r="AW350" i="12"/>
  <c r="AN350" i="12"/>
  <c r="AE350" i="12"/>
  <c r="M350" i="12"/>
  <c r="AW349" i="12"/>
  <c r="AN349" i="12"/>
  <c r="AE349" i="12"/>
  <c r="M349" i="12"/>
  <c r="AW348" i="12"/>
  <c r="AN348" i="12"/>
  <c r="AE348" i="12"/>
  <c r="M348" i="12"/>
  <c r="AW347" i="12"/>
  <c r="AN347" i="12"/>
  <c r="AE347" i="12"/>
  <c r="M347" i="12"/>
  <c r="AW346" i="12"/>
  <c r="AN346" i="12"/>
  <c r="AE346" i="12"/>
  <c r="M346" i="12"/>
  <c r="AW345" i="12"/>
  <c r="AN345" i="12"/>
  <c r="AE345" i="12"/>
  <c r="M345" i="12"/>
  <c r="AW344" i="12"/>
  <c r="AN344" i="12"/>
  <c r="AE344" i="12"/>
  <c r="M344" i="12"/>
  <c r="AW343" i="12"/>
  <c r="AN343" i="12"/>
  <c r="AE343" i="12"/>
  <c r="M343" i="12"/>
  <c r="AW342" i="12"/>
  <c r="AN342" i="12"/>
  <c r="AE342" i="12"/>
  <c r="M342" i="12"/>
  <c r="AW341" i="12"/>
  <c r="AN341" i="12"/>
  <c r="AE341" i="12"/>
  <c r="M341" i="12"/>
  <c r="AW340" i="12"/>
  <c r="AN340" i="12"/>
  <c r="AE340" i="12"/>
  <c r="M340" i="12"/>
  <c r="AW339" i="12"/>
  <c r="AN339" i="12"/>
  <c r="AE339" i="12"/>
  <c r="M339" i="12"/>
  <c r="AW338" i="12"/>
  <c r="AN338" i="12"/>
  <c r="AE338" i="12"/>
  <c r="M338" i="12"/>
  <c r="AW337" i="12"/>
  <c r="AN337" i="12"/>
  <c r="AE337" i="12"/>
  <c r="M337" i="12"/>
  <c r="AW336" i="12"/>
  <c r="AN336" i="12"/>
  <c r="AE336" i="12"/>
  <c r="M336" i="12"/>
  <c r="AW335" i="12"/>
  <c r="AN335" i="12"/>
  <c r="AE335" i="12"/>
  <c r="M335" i="12"/>
  <c r="AW334" i="12"/>
  <c r="AN334" i="12"/>
  <c r="AE334" i="12"/>
  <c r="M334" i="12"/>
  <c r="AW333" i="12"/>
  <c r="AN333" i="12"/>
  <c r="AE333" i="12"/>
  <c r="M333" i="12"/>
  <c r="AW332" i="12"/>
  <c r="AN332" i="12"/>
  <c r="AE332" i="12"/>
  <c r="M332" i="12"/>
  <c r="AW331" i="12"/>
  <c r="AN331" i="12"/>
  <c r="AE331" i="12"/>
  <c r="M331" i="12"/>
  <c r="AW330" i="12"/>
  <c r="AN330" i="12"/>
  <c r="AE330" i="12"/>
  <c r="M330" i="12"/>
  <c r="AW329" i="12"/>
  <c r="AN329" i="12"/>
  <c r="AE329" i="12"/>
  <c r="M329" i="12"/>
  <c r="AW328" i="12"/>
  <c r="AN328" i="12"/>
  <c r="AE328" i="12"/>
  <c r="M328" i="12"/>
  <c r="AW327" i="12"/>
  <c r="AN327" i="12"/>
  <c r="AE327" i="12"/>
  <c r="M327" i="12"/>
  <c r="AW326" i="12"/>
  <c r="AN326" i="12"/>
  <c r="AE326" i="12"/>
  <c r="M326" i="12"/>
  <c r="AW325" i="12"/>
  <c r="AN325" i="12"/>
  <c r="AE325" i="12"/>
  <c r="M325" i="12"/>
  <c r="AW324" i="12"/>
  <c r="AN324" i="12"/>
  <c r="AE324" i="12"/>
  <c r="M324" i="12"/>
  <c r="AW323" i="12"/>
  <c r="AN323" i="12"/>
  <c r="AE323" i="12"/>
  <c r="M323" i="12"/>
  <c r="AW322" i="12"/>
  <c r="AN322" i="12"/>
  <c r="AE322" i="12"/>
  <c r="M322" i="12"/>
  <c r="AW321" i="12"/>
  <c r="AN321" i="12"/>
  <c r="AE321" i="12"/>
  <c r="M321" i="12"/>
  <c r="AW320" i="12"/>
  <c r="AN320" i="12"/>
  <c r="AE320" i="12"/>
  <c r="M320" i="12"/>
  <c r="AW319" i="12"/>
  <c r="AN319" i="12"/>
  <c r="AE319" i="12"/>
  <c r="M319" i="12"/>
  <c r="AW318" i="12"/>
  <c r="AN318" i="12"/>
  <c r="AE318" i="12"/>
  <c r="M318" i="12"/>
  <c r="AW317" i="12"/>
  <c r="AN317" i="12"/>
  <c r="AE317" i="12"/>
  <c r="M317" i="12"/>
  <c r="AW316" i="12"/>
  <c r="AN316" i="12"/>
  <c r="AE316" i="12"/>
  <c r="M316" i="12"/>
  <c r="AW315" i="12"/>
  <c r="AN315" i="12"/>
  <c r="AE315" i="12"/>
  <c r="M315" i="12"/>
  <c r="AW314" i="12"/>
  <c r="AN314" i="12"/>
  <c r="AE314" i="12"/>
  <c r="M314" i="12"/>
  <c r="AW313" i="12"/>
  <c r="AN313" i="12"/>
  <c r="AE313" i="12"/>
  <c r="M313" i="12"/>
  <c r="AW312" i="12"/>
  <c r="AN312" i="12"/>
  <c r="AE312" i="12"/>
  <c r="M312" i="12"/>
  <c r="AW311" i="12"/>
  <c r="AN311" i="12"/>
  <c r="AE311" i="12"/>
  <c r="M311" i="12"/>
  <c r="AW310" i="12"/>
  <c r="AN310" i="12"/>
  <c r="AE310" i="12"/>
  <c r="M310" i="12"/>
  <c r="AW309" i="12"/>
  <c r="AN309" i="12"/>
  <c r="AE309" i="12"/>
  <c r="M309" i="12"/>
  <c r="AW308" i="12"/>
  <c r="AN308" i="12"/>
  <c r="AE308" i="12"/>
  <c r="M308" i="12"/>
  <c r="AW307" i="12"/>
  <c r="AN307" i="12"/>
  <c r="AE307" i="12"/>
  <c r="M307" i="12"/>
  <c r="AW306" i="12"/>
  <c r="AN306" i="12"/>
  <c r="AE306" i="12"/>
  <c r="M306" i="12"/>
  <c r="AW305" i="12"/>
  <c r="AN305" i="12"/>
  <c r="AE305" i="12"/>
  <c r="M305" i="12"/>
  <c r="AW304" i="12"/>
  <c r="AN304" i="12"/>
  <c r="AE304" i="12"/>
  <c r="M304" i="12"/>
  <c r="AW303" i="12"/>
  <c r="AN303" i="12"/>
  <c r="AE303" i="12"/>
  <c r="M303" i="12"/>
  <c r="AW302" i="12"/>
  <c r="AN302" i="12"/>
  <c r="AE302" i="12"/>
  <c r="M302" i="12"/>
  <c r="AW301" i="12"/>
  <c r="AN301" i="12"/>
  <c r="AE301" i="12"/>
  <c r="M301" i="12"/>
  <c r="AW300" i="12"/>
  <c r="AN300" i="12"/>
  <c r="AE300" i="12"/>
  <c r="M300" i="12"/>
  <c r="AW299" i="12"/>
  <c r="AN299" i="12"/>
  <c r="AE299" i="12"/>
  <c r="M299" i="12"/>
  <c r="AW298" i="12"/>
  <c r="AN298" i="12"/>
  <c r="AE298" i="12"/>
  <c r="M298" i="12"/>
  <c r="AW297" i="12"/>
  <c r="AN297" i="12"/>
  <c r="AE297" i="12"/>
  <c r="M297" i="12"/>
  <c r="AW296" i="12"/>
  <c r="AN296" i="12"/>
  <c r="AE296" i="12"/>
  <c r="M296" i="12"/>
  <c r="AW295" i="12"/>
  <c r="AN295" i="12"/>
  <c r="AE295" i="12"/>
  <c r="M295" i="12"/>
  <c r="AW294" i="12"/>
  <c r="AN294" i="12"/>
  <c r="AE294" i="12"/>
  <c r="M294" i="12"/>
  <c r="AW293" i="12"/>
  <c r="AN293" i="12"/>
  <c r="AE293" i="12"/>
  <c r="M293" i="12"/>
  <c r="AW292" i="12"/>
  <c r="AN292" i="12"/>
  <c r="AE292" i="12"/>
  <c r="M292" i="12"/>
  <c r="AW291" i="12"/>
  <c r="AN291" i="12"/>
  <c r="AE291" i="12"/>
  <c r="M291" i="12"/>
  <c r="AW290" i="12"/>
  <c r="AN290" i="12"/>
  <c r="AE290" i="12"/>
  <c r="M290" i="12"/>
  <c r="AW289" i="12"/>
  <c r="AN289" i="12"/>
  <c r="AE289" i="12"/>
  <c r="M289" i="12"/>
  <c r="AW288" i="12"/>
  <c r="AN288" i="12"/>
  <c r="AE288" i="12"/>
  <c r="M288" i="12"/>
  <c r="AW287" i="12"/>
  <c r="AN287" i="12"/>
  <c r="AE287" i="12"/>
  <c r="M287" i="12"/>
  <c r="AW286" i="12"/>
  <c r="AN286" i="12"/>
  <c r="AE286" i="12"/>
  <c r="M286" i="12"/>
  <c r="AW285" i="12"/>
  <c r="AN285" i="12"/>
  <c r="AE285" i="12"/>
  <c r="M285" i="12"/>
  <c r="AW284" i="12"/>
  <c r="AN284" i="12"/>
  <c r="AE284" i="12"/>
  <c r="M284" i="12"/>
  <c r="AW283" i="12"/>
  <c r="AN283" i="12"/>
  <c r="AE283" i="12"/>
  <c r="M283" i="12"/>
  <c r="AW282" i="12"/>
  <c r="AN282" i="12"/>
  <c r="AE282" i="12"/>
  <c r="M282" i="12"/>
  <c r="AW281" i="12"/>
  <c r="AN281" i="12"/>
  <c r="AE281" i="12"/>
  <c r="M281" i="12"/>
  <c r="AW280" i="12"/>
  <c r="AN280" i="12"/>
  <c r="AE280" i="12"/>
  <c r="M280" i="12"/>
  <c r="AW279" i="12"/>
  <c r="AN279" i="12"/>
  <c r="AE279" i="12"/>
  <c r="M279" i="12"/>
  <c r="AW278" i="12"/>
  <c r="AN278" i="12"/>
  <c r="AE278" i="12"/>
  <c r="M278" i="12"/>
  <c r="AW277" i="12"/>
  <c r="AN277" i="12"/>
  <c r="AE277" i="12"/>
  <c r="M277" i="12"/>
  <c r="AW276" i="12"/>
  <c r="AN276" i="12"/>
  <c r="AE276" i="12"/>
  <c r="M276" i="12"/>
  <c r="AW275" i="12"/>
  <c r="AN275" i="12"/>
  <c r="AE275" i="12"/>
  <c r="M275" i="12"/>
  <c r="AW274" i="12"/>
  <c r="AN274" i="12"/>
  <c r="AE274" i="12"/>
  <c r="M274" i="12"/>
  <c r="AW273" i="12"/>
  <c r="AN273" i="12"/>
  <c r="AE273" i="12"/>
  <c r="M273" i="12"/>
  <c r="AW272" i="12"/>
  <c r="AN272" i="12"/>
  <c r="AE272" i="12"/>
  <c r="M272" i="12"/>
  <c r="AW271" i="12"/>
  <c r="AN271" i="12"/>
  <c r="AE271" i="12"/>
  <c r="M271" i="12"/>
  <c r="AW270" i="12"/>
  <c r="AN270" i="12"/>
  <c r="AE270" i="12"/>
  <c r="M270" i="12"/>
  <c r="AW269" i="12"/>
  <c r="AN269" i="12"/>
  <c r="AE269" i="12"/>
  <c r="M269" i="12"/>
  <c r="AW268" i="12"/>
  <c r="AN268" i="12"/>
  <c r="AE268" i="12"/>
  <c r="M268" i="12"/>
  <c r="AW267" i="12"/>
  <c r="AN267" i="12"/>
  <c r="AE267" i="12"/>
  <c r="M267" i="12"/>
  <c r="AW266" i="12"/>
  <c r="AN266" i="12"/>
  <c r="AE266" i="12"/>
  <c r="M266" i="12"/>
  <c r="AW265" i="12"/>
  <c r="AN265" i="12"/>
  <c r="AE265" i="12"/>
  <c r="M265" i="12"/>
  <c r="AW264" i="12"/>
  <c r="AN264" i="12"/>
  <c r="AE264" i="12"/>
  <c r="M264" i="12"/>
  <c r="AW263" i="12"/>
  <c r="AN263" i="12"/>
  <c r="AE263" i="12"/>
  <c r="M263" i="12"/>
  <c r="AW262" i="12"/>
  <c r="AN262" i="12"/>
  <c r="AE262" i="12"/>
  <c r="M262" i="12"/>
  <c r="AW261" i="12"/>
  <c r="AN261" i="12"/>
  <c r="AE261" i="12"/>
  <c r="M261" i="12"/>
  <c r="AW260" i="12"/>
  <c r="AN260" i="12"/>
  <c r="AE260" i="12"/>
  <c r="M260" i="12"/>
  <c r="AW259" i="12"/>
  <c r="AN259" i="12"/>
  <c r="AE259" i="12"/>
  <c r="M259" i="12"/>
  <c r="AW258" i="12"/>
  <c r="AN258" i="12"/>
  <c r="AE258" i="12"/>
  <c r="M258" i="12"/>
  <c r="AW257" i="12"/>
  <c r="AN257" i="12"/>
  <c r="AE257" i="12"/>
  <c r="M257" i="12"/>
  <c r="AW256" i="12"/>
  <c r="AN256" i="12"/>
  <c r="AE256" i="12"/>
  <c r="M256" i="12"/>
  <c r="AW255" i="12"/>
  <c r="AN255" i="12"/>
  <c r="AE255" i="12"/>
  <c r="M255" i="12"/>
  <c r="AW254" i="12"/>
  <c r="AN254" i="12"/>
  <c r="AE254" i="12"/>
  <c r="M254" i="12"/>
  <c r="AW253" i="12"/>
  <c r="AN253" i="12"/>
  <c r="AE253" i="12"/>
  <c r="M253" i="12"/>
  <c r="AW252" i="12"/>
  <c r="AN252" i="12"/>
  <c r="AE252" i="12"/>
  <c r="M252" i="12"/>
  <c r="AW251" i="12"/>
  <c r="AN251" i="12"/>
  <c r="AE251" i="12"/>
  <c r="M251" i="12"/>
  <c r="AW250" i="12"/>
  <c r="AN250" i="12"/>
  <c r="AE250" i="12"/>
  <c r="M250" i="12"/>
  <c r="AW249" i="12"/>
  <c r="AN249" i="12"/>
  <c r="AE249" i="12"/>
  <c r="M249" i="12"/>
  <c r="AW248" i="12"/>
  <c r="AN248" i="12"/>
  <c r="AE248" i="12"/>
  <c r="M248" i="12"/>
  <c r="AW247" i="12"/>
  <c r="AN247" i="12"/>
  <c r="AE247" i="12"/>
  <c r="M247" i="12"/>
  <c r="AW246" i="12"/>
  <c r="AN246" i="12"/>
  <c r="AE246" i="12"/>
  <c r="M246" i="12"/>
  <c r="AW245" i="12"/>
  <c r="AN245" i="12"/>
  <c r="AE245" i="12"/>
  <c r="M245" i="12"/>
  <c r="AW244" i="12"/>
  <c r="AN244" i="12"/>
  <c r="AE244" i="12"/>
  <c r="M244" i="12"/>
  <c r="AW243" i="12"/>
  <c r="AN243" i="12"/>
  <c r="AE243" i="12"/>
  <c r="M243" i="12"/>
  <c r="AW242" i="12"/>
  <c r="AN242" i="12"/>
  <c r="AE242" i="12"/>
  <c r="M242" i="12"/>
  <c r="AW241" i="12"/>
  <c r="AN241" i="12"/>
  <c r="AE241" i="12"/>
  <c r="M241" i="12"/>
  <c r="AW240" i="12"/>
  <c r="AN240" i="12"/>
  <c r="AE240" i="12"/>
  <c r="M240" i="12"/>
  <c r="AW239" i="12"/>
  <c r="AN239" i="12"/>
  <c r="AE239" i="12"/>
  <c r="M239" i="12"/>
  <c r="AW238" i="12"/>
  <c r="AN238" i="12"/>
  <c r="AE238" i="12"/>
  <c r="M238" i="12"/>
  <c r="AW237" i="12"/>
  <c r="AN237" i="12"/>
  <c r="AE237" i="12"/>
  <c r="M237" i="12"/>
  <c r="AW236" i="12"/>
  <c r="AN236" i="12"/>
  <c r="AE236" i="12"/>
  <c r="M236" i="12"/>
  <c r="AW235" i="12"/>
  <c r="AN235" i="12"/>
  <c r="AE235" i="12"/>
  <c r="M235" i="12"/>
  <c r="AW234" i="12"/>
  <c r="AN234" i="12"/>
  <c r="AE234" i="12"/>
  <c r="M234" i="12"/>
  <c r="AW233" i="12"/>
  <c r="AN233" i="12"/>
  <c r="AE233" i="12"/>
  <c r="M233" i="12"/>
  <c r="AW232" i="12"/>
  <c r="AN232" i="12"/>
  <c r="AE232" i="12"/>
  <c r="M232" i="12"/>
  <c r="AW231" i="12"/>
  <c r="AN231" i="12"/>
  <c r="AE231" i="12"/>
  <c r="M231" i="12"/>
  <c r="AW230" i="12"/>
  <c r="AN230" i="12"/>
  <c r="AE230" i="12"/>
  <c r="M230" i="12"/>
  <c r="AW229" i="12"/>
  <c r="AN229" i="12"/>
  <c r="AE229" i="12"/>
  <c r="M229" i="12"/>
  <c r="AW228" i="12"/>
  <c r="AN228" i="12"/>
  <c r="AE228" i="12"/>
  <c r="M228" i="12"/>
  <c r="AW227" i="12"/>
  <c r="AN227" i="12"/>
  <c r="AE227" i="12"/>
  <c r="M227" i="12"/>
  <c r="AW226" i="12"/>
  <c r="AN226" i="12"/>
  <c r="AE226" i="12"/>
  <c r="M226" i="12"/>
  <c r="AW225" i="12"/>
  <c r="AN225" i="12"/>
  <c r="AE225" i="12"/>
  <c r="M225" i="12"/>
  <c r="AW224" i="12"/>
  <c r="AN224" i="12"/>
  <c r="AE224" i="12"/>
  <c r="M224" i="12"/>
  <c r="AW223" i="12"/>
  <c r="AN223" i="12"/>
  <c r="AE223" i="12"/>
  <c r="M223" i="12"/>
  <c r="AW222" i="12"/>
  <c r="AN222" i="12"/>
  <c r="AE222" i="12"/>
  <c r="M222" i="12"/>
  <c r="AW221" i="12"/>
  <c r="AN221" i="12"/>
  <c r="AE221" i="12"/>
  <c r="M221" i="12"/>
  <c r="AW220" i="12"/>
  <c r="AN220" i="12"/>
  <c r="AE220" i="12"/>
  <c r="M220" i="12"/>
  <c r="AW219" i="12"/>
  <c r="AN219" i="12"/>
  <c r="AE219" i="12"/>
  <c r="M219" i="12"/>
  <c r="AW218" i="12"/>
  <c r="AN218" i="12"/>
  <c r="AE218" i="12"/>
  <c r="M218" i="12"/>
  <c r="AW217" i="12"/>
  <c r="AN217" i="12"/>
  <c r="AE217" i="12"/>
  <c r="M217" i="12"/>
  <c r="AW216" i="12"/>
  <c r="AN216" i="12"/>
  <c r="AE216" i="12"/>
  <c r="M216" i="12"/>
  <c r="AW215" i="12"/>
  <c r="AN215" i="12"/>
  <c r="AE215" i="12"/>
  <c r="M215" i="12"/>
  <c r="AW214" i="12"/>
  <c r="AN214" i="12"/>
  <c r="AE214" i="12"/>
  <c r="M214" i="12"/>
  <c r="AW213" i="12"/>
  <c r="AN213" i="12"/>
  <c r="AE213" i="12"/>
  <c r="M213" i="12"/>
  <c r="AW212" i="12"/>
  <c r="AN212" i="12"/>
  <c r="AE212" i="12"/>
  <c r="M212" i="12"/>
  <c r="AW211" i="12"/>
  <c r="AN211" i="12"/>
  <c r="AE211" i="12"/>
  <c r="M211" i="12"/>
  <c r="AW210" i="12"/>
  <c r="AN210" i="12"/>
  <c r="AE210" i="12"/>
  <c r="M210" i="12"/>
  <c r="AW209" i="12"/>
  <c r="AN209" i="12"/>
  <c r="AE209" i="12"/>
  <c r="M209" i="12"/>
  <c r="AW208" i="12"/>
  <c r="AN208" i="12"/>
  <c r="AE208" i="12"/>
  <c r="M208" i="12"/>
  <c r="AW207" i="12"/>
  <c r="AN207" i="12"/>
  <c r="AE207" i="12"/>
  <c r="M207" i="12"/>
  <c r="AW206" i="12"/>
  <c r="AN206" i="12"/>
  <c r="AE206" i="12"/>
  <c r="M206" i="12"/>
  <c r="AW205" i="12"/>
  <c r="AN205" i="12"/>
  <c r="AE205" i="12"/>
  <c r="M205" i="12"/>
  <c r="AW204" i="12"/>
  <c r="AN204" i="12"/>
  <c r="AE204" i="12"/>
  <c r="M204" i="12"/>
  <c r="AW203" i="12"/>
  <c r="AN203" i="12"/>
  <c r="AE203" i="12"/>
  <c r="M203" i="12"/>
  <c r="AW202" i="12"/>
  <c r="AN202" i="12"/>
  <c r="AE202" i="12"/>
  <c r="M202" i="12"/>
  <c r="AW201" i="12"/>
  <c r="AN201" i="12"/>
  <c r="AE201" i="12"/>
  <c r="M201" i="12"/>
  <c r="AW200" i="12"/>
  <c r="AN200" i="12"/>
  <c r="AE200" i="12"/>
  <c r="M200" i="12"/>
  <c r="AW199" i="12"/>
  <c r="AN199" i="12"/>
  <c r="AE199" i="12"/>
  <c r="M199" i="12"/>
  <c r="AW198" i="12"/>
  <c r="AN198" i="12"/>
  <c r="AE198" i="12"/>
  <c r="M198" i="12"/>
  <c r="AW197" i="12"/>
  <c r="AN197" i="12"/>
  <c r="AE197" i="12"/>
  <c r="M197" i="12"/>
  <c r="AW196" i="12"/>
  <c r="AN196" i="12"/>
  <c r="AE196" i="12"/>
  <c r="M196" i="12"/>
  <c r="AW195" i="12"/>
  <c r="AN195" i="12"/>
  <c r="AE195" i="12"/>
  <c r="M195" i="12"/>
  <c r="AW194" i="12"/>
  <c r="AN194" i="12"/>
  <c r="AE194" i="12"/>
  <c r="M194" i="12"/>
  <c r="AW193" i="12"/>
  <c r="AN193" i="12"/>
  <c r="AE193" i="12"/>
  <c r="M193" i="12"/>
  <c r="AW192" i="12"/>
  <c r="AN192" i="12"/>
  <c r="AE192" i="12"/>
  <c r="M192" i="12"/>
  <c r="AW191" i="12"/>
  <c r="AN191" i="12"/>
  <c r="AE191" i="12"/>
  <c r="M191" i="12"/>
  <c r="AW190" i="12"/>
  <c r="AN190" i="12"/>
  <c r="AE190" i="12"/>
  <c r="M190" i="12"/>
  <c r="AW189" i="12"/>
  <c r="AN189" i="12"/>
  <c r="AE189" i="12"/>
  <c r="M189" i="12"/>
  <c r="AW188" i="12"/>
  <c r="AN188" i="12"/>
  <c r="AE188" i="12"/>
  <c r="M188" i="12"/>
  <c r="AW187" i="12"/>
  <c r="AN187" i="12"/>
  <c r="AE187" i="12"/>
  <c r="M187" i="12"/>
  <c r="AW186" i="12"/>
  <c r="AN186" i="12"/>
  <c r="AE186" i="12"/>
  <c r="M186" i="12"/>
  <c r="AW185" i="12"/>
  <c r="AN185" i="12"/>
  <c r="AE185" i="12"/>
  <c r="M185" i="12"/>
  <c r="AW184" i="12"/>
  <c r="AN184" i="12"/>
  <c r="AE184" i="12"/>
  <c r="M184" i="12"/>
  <c r="AW183" i="12"/>
  <c r="AN183" i="12"/>
  <c r="AE183" i="12"/>
  <c r="M183" i="12"/>
  <c r="AW182" i="12"/>
  <c r="AN182" i="12"/>
  <c r="AE182" i="12"/>
  <c r="M182" i="12"/>
  <c r="AW181" i="12"/>
  <c r="AN181" i="12"/>
  <c r="AE181" i="12"/>
  <c r="M181" i="12"/>
  <c r="AW180" i="12"/>
  <c r="AN180" i="12"/>
  <c r="AE180" i="12"/>
  <c r="M180" i="12"/>
  <c r="AW179" i="12"/>
  <c r="AN179" i="12"/>
  <c r="AE179" i="12"/>
  <c r="M179" i="12"/>
  <c r="AW178" i="12"/>
  <c r="AN178" i="12"/>
  <c r="AE178" i="12"/>
  <c r="M178" i="12"/>
  <c r="AW177" i="12"/>
  <c r="AN177" i="12"/>
  <c r="AE177" i="12"/>
  <c r="M177" i="12"/>
  <c r="AW176" i="12"/>
  <c r="AN176" i="12"/>
  <c r="AE176" i="12"/>
  <c r="M176" i="12"/>
  <c r="AW175" i="12"/>
  <c r="AN175" i="12"/>
  <c r="AE175" i="12"/>
  <c r="M175" i="12"/>
  <c r="AW174" i="12"/>
  <c r="AN174" i="12"/>
  <c r="AE174" i="12"/>
  <c r="M174" i="12"/>
  <c r="AW173" i="12"/>
  <c r="AN173" i="12"/>
  <c r="AE173" i="12"/>
  <c r="M173" i="12"/>
  <c r="AW172" i="12"/>
  <c r="AN172" i="12"/>
  <c r="AE172" i="12"/>
  <c r="M172" i="12"/>
  <c r="AW171" i="12"/>
  <c r="AN171" i="12"/>
  <c r="AE171" i="12"/>
  <c r="M171" i="12"/>
  <c r="AW170" i="12"/>
  <c r="AN170" i="12"/>
  <c r="AE170" i="12"/>
  <c r="M170" i="12"/>
  <c r="AW169" i="12"/>
  <c r="AN169" i="12"/>
  <c r="AE169" i="12"/>
  <c r="M169" i="12"/>
  <c r="AW168" i="12"/>
  <c r="AN168" i="12"/>
  <c r="AE168" i="12"/>
  <c r="M168" i="12"/>
  <c r="AW167" i="12"/>
  <c r="AN167" i="12"/>
  <c r="AE167" i="12"/>
  <c r="M167" i="12"/>
  <c r="AW166" i="12"/>
  <c r="AN166" i="12"/>
  <c r="AE166" i="12"/>
  <c r="M166" i="12"/>
  <c r="AW165" i="12"/>
  <c r="AN165" i="12"/>
  <c r="AE165" i="12"/>
  <c r="M165" i="12"/>
  <c r="AW164" i="12"/>
  <c r="AN164" i="12"/>
  <c r="AE164" i="12"/>
  <c r="M164" i="12"/>
  <c r="AW163" i="12"/>
  <c r="AN163" i="12"/>
  <c r="AE163" i="12"/>
  <c r="M163" i="12"/>
  <c r="AW162" i="12"/>
  <c r="AN162" i="12"/>
  <c r="AE162" i="12"/>
  <c r="M162" i="12"/>
  <c r="AW161" i="12"/>
  <c r="AN161" i="12"/>
  <c r="AE161" i="12"/>
  <c r="M161" i="12"/>
  <c r="AW160" i="12"/>
  <c r="AN160" i="12"/>
  <c r="AE160" i="12"/>
  <c r="M160" i="12"/>
  <c r="AW159" i="12"/>
  <c r="AN159" i="12"/>
  <c r="AE159" i="12"/>
  <c r="M159" i="12"/>
  <c r="AW158" i="12"/>
  <c r="AN158" i="12"/>
  <c r="AE158" i="12"/>
  <c r="M158" i="12"/>
  <c r="AW157" i="12"/>
  <c r="AN157" i="12"/>
  <c r="AE157" i="12"/>
  <c r="M157" i="12"/>
  <c r="AW156" i="12"/>
  <c r="AN156" i="12"/>
  <c r="AE156" i="12"/>
  <c r="M156" i="12"/>
  <c r="AW155" i="12"/>
  <c r="AN155" i="12"/>
  <c r="AE155" i="12"/>
  <c r="M155" i="12"/>
  <c r="AW154" i="12"/>
  <c r="AN154" i="12"/>
  <c r="AE154" i="12"/>
  <c r="M154" i="12"/>
  <c r="AW153" i="12"/>
  <c r="AN153" i="12"/>
  <c r="AE153" i="12"/>
  <c r="M153" i="12"/>
  <c r="AW152" i="12"/>
  <c r="AN152" i="12"/>
  <c r="AE152" i="12"/>
  <c r="M152" i="12"/>
  <c r="AW151" i="12"/>
  <c r="AN151" i="12"/>
  <c r="AE151" i="12"/>
  <c r="M151" i="12"/>
  <c r="AW150" i="12"/>
  <c r="AN150" i="12"/>
  <c r="AE150" i="12"/>
  <c r="M150" i="12"/>
  <c r="AW149" i="12"/>
  <c r="AN149" i="12"/>
  <c r="AE149" i="12"/>
  <c r="M149" i="12"/>
  <c r="AW148" i="12"/>
  <c r="AN148" i="12"/>
  <c r="AE148" i="12"/>
  <c r="M148" i="12"/>
  <c r="AW147" i="12"/>
  <c r="AN147" i="12"/>
  <c r="AE147" i="12"/>
  <c r="M147" i="12"/>
  <c r="AW146" i="12"/>
  <c r="AN146" i="12"/>
  <c r="AE146" i="12"/>
  <c r="M146" i="12"/>
  <c r="AW145" i="12"/>
  <c r="AN145" i="12"/>
  <c r="AE145" i="12"/>
  <c r="M145" i="12"/>
  <c r="AW144" i="12"/>
  <c r="AN144" i="12"/>
  <c r="AE144" i="12"/>
  <c r="M144" i="12"/>
  <c r="AW143" i="12"/>
  <c r="AN143" i="12"/>
  <c r="AE143" i="12"/>
  <c r="M143" i="12"/>
  <c r="AW142" i="12"/>
  <c r="AN142" i="12"/>
  <c r="AE142" i="12"/>
  <c r="M142" i="12"/>
  <c r="AW141" i="12"/>
  <c r="AN141" i="12"/>
  <c r="AE141" i="12"/>
  <c r="M141" i="12"/>
  <c r="AW140" i="12"/>
  <c r="AN140" i="12"/>
  <c r="AE140" i="12"/>
  <c r="M140" i="12"/>
  <c r="AW139" i="12"/>
  <c r="AN139" i="12"/>
  <c r="AE139" i="12"/>
  <c r="M139" i="12"/>
  <c r="AW138" i="12"/>
  <c r="AN138" i="12"/>
  <c r="AE138" i="12"/>
  <c r="M138" i="12"/>
  <c r="AW137" i="12"/>
  <c r="AN137" i="12"/>
  <c r="AE137" i="12"/>
  <c r="M137" i="12"/>
  <c r="AW136" i="12"/>
  <c r="AN136" i="12"/>
  <c r="AE136" i="12"/>
  <c r="M136" i="12"/>
  <c r="AW135" i="12"/>
  <c r="AN135" i="12"/>
  <c r="AE135" i="12"/>
  <c r="M135" i="12"/>
  <c r="AW134" i="12"/>
  <c r="AN134" i="12"/>
  <c r="AE134" i="12"/>
  <c r="M134" i="12"/>
  <c r="AW133" i="12"/>
  <c r="AN133" i="12"/>
  <c r="AE133" i="12"/>
  <c r="M133" i="12"/>
  <c r="AW132" i="12"/>
  <c r="AN132" i="12"/>
  <c r="AE132" i="12"/>
  <c r="M132" i="12"/>
  <c r="AW131" i="12"/>
  <c r="AN131" i="12"/>
  <c r="AE131" i="12"/>
  <c r="M131" i="12"/>
  <c r="AW130" i="12"/>
  <c r="AN130" i="12"/>
  <c r="AE130" i="12"/>
  <c r="M130" i="12"/>
  <c r="AW129" i="12"/>
  <c r="AN129" i="12"/>
  <c r="AE129" i="12"/>
  <c r="M129" i="12"/>
  <c r="AW128" i="12"/>
  <c r="AN128" i="12"/>
  <c r="AE128" i="12"/>
  <c r="M128" i="12"/>
  <c r="AW127" i="12"/>
  <c r="AN127" i="12"/>
  <c r="AE127" i="12"/>
  <c r="M127" i="12"/>
  <c r="AW126" i="12"/>
  <c r="AN126" i="12"/>
  <c r="AE126" i="12"/>
  <c r="M126" i="12"/>
  <c r="AW125" i="12"/>
  <c r="AN125" i="12"/>
  <c r="AE125" i="12"/>
  <c r="M125" i="12"/>
  <c r="AW124" i="12"/>
  <c r="AN124" i="12"/>
  <c r="AE124" i="12"/>
  <c r="M124" i="12"/>
  <c r="AW123" i="12"/>
  <c r="AN123" i="12"/>
  <c r="AE123" i="12"/>
  <c r="M123" i="12"/>
  <c r="AW122" i="12"/>
  <c r="AN122" i="12"/>
  <c r="AE122" i="12"/>
  <c r="M122" i="12"/>
  <c r="AW121" i="12"/>
  <c r="AN121" i="12"/>
  <c r="AE121" i="12"/>
  <c r="M121" i="12"/>
  <c r="AW120" i="12"/>
  <c r="AN120" i="12"/>
  <c r="AE120" i="12"/>
  <c r="M120" i="12"/>
  <c r="AW119" i="12"/>
  <c r="AN119" i="12"/>
  <c r="AE119" i="12"/>
  <c r="M119" i="12"/>
  <c r="AW118" i="12"/>
  <c r="AN118" i="12"/>
  <c r="AE118" i="12"/>
  <c r="M118" i="12"/>
  <c r="AW117" i="12"/>
  <c r="AN117" i="12"/>
  <c r="AE117" i="12"/>
  <c r="M117" i="12"/>
  <c r="AW116" i="12"/>
  <c r="AN116" i="12"/>
  <c r="AE116" i="12"/>
  <c r="M116" i="12"/>
  <c r="AW115" i="12"/>
  <c r="AN115" i="12"/>
  <c r="AE115" i="12"/>
  <c r="M115" i="12"/>
  <c r="AW114" i="12"/>
  <c r="AN114" i="12"/>
  <c r="AE114" i="12"/>
  <c r="M114" i="12"/>
  <c r="AW113" i="12"/>
  <c r="AN113" i="12"/>
  <c r="AE113" i="12"/>
  <c r="M113" i="12"/>
  <c r="AW112" i="12"/>
  <c r="AN112" i="12"/>
  <c r="AE112" i="12"/>
  <c r="M112" i="12"/>
  <c r="AW111" i="12"/>
  <c r="AN111" i="12"/>
  <c r="AE111" i="12"/>
  <c r="M111" i="12"/>
  <c r="AW110" i="12"/>
  <c r="AN110" i="12"/>
  <c r="AE110" i="12"/>
  <c r="M110" i="12"/>
  <c r="AW109" i="12"/>
  <c r="AN109" i="12"/>
  <c r="AE109" i="12"/>
  <c r="M109" i="12"/>
  <c r="AW108" i="12"/>
  <c r="AN108" i="12"/>
  <c r="AE108" i="12"/>
  <c r="M108" i="12"/>
  <c r="AW107" i="12"/>
  <c r="AN107" i="12"/>
  <c r="AE107" i="12"/>
  <c r="M107" i="12"/>
  <c r="AW106" i="12"/>
  <c r="AN106" i="12"/>
  <c r="AE106" i="12"/>
  <c r="M106" i="12"/>
  <c r="AW105" i="12"/>
  <c r="AN105" i="12"/>
  <c r="AE105" i="12"/>
  <c r="M105" i="12"/>
  <c r="AW104" i="12"/>
  <c r="AN104" i="12"/>
  <c r="AE104" i="12"/>
  <c r="M104" i="12"/>
  <c r="AW103" i="12"/>
  <c r="AN103" i="12"/>
  <c r="AE103" i="12"/>
  <c r="M103" i="12"/>
  <c r="AW102" i="12"/>
  <c r="AN102" i="12"/>
  <c r="AE102" i="12"/>
  <c r="M102" i="12"/>
  <c r="AW101" i="12"/>
  <c r="AN101" i="12"/>
  <c r="AE101" i="12"/>
  <c r="M101" i="12"/>
  <c r="AW100" i="12"/>
  <c r="AN100" i="12"/>
  <c r="AE100" i="12"/>
  <c r="M100" i="12"/>
  <c r="AW99" i="12"/>
  <c r="AN99" i="12"/>
  <c r="AE99" i="12"/>
  <c r="M99" i="12"/>
  <c r="AW98" i="12"/>
  <c r="AN98" i="12"/>
  <c r="AE98" i="12"/>
  <c r="M98" i="12"/>
  <c r="AW97" i="12"/>
  <c r="AN97" i="12"/>
  <c r="AE97" i="12"/>
  <c r="M97" i="12"/>
  <c r="AW96" i="12"/>
  <c r="AN96" i="12"/>
  <c r="AE96" i="12"/>
  <c r="M96" i="12"/>
  <c r="AW95" i="12"/>
  <c r="AN95" i="12"/>
  <c r="AE95" i="12"/>
  <c r="M95" i="12"/>
  <c r="AW94" i="12"/>
  <c r="AN94" i="12"/>
  <c r="AE94" i="12"/>
  <c r="M94" i="12"/>
  <c r="AW93" i="12"/>
  <c r="AN93" i="12"/>
  <c r="AE93" i="12"/>
  <c r="M93" i="12"/>
  <c r="AW92" i="12"/>
  <c r="AN92" i="12"/>
  <c r="AE92" i="12"/>
  <c r="M92" i="12"/>
  <c r="AW91" i="12"/>
  <c r="AN91" i="12"/>
  <c r="AE91" i="12"/>
  <c r="M91" i="12"/>
  <c r="AW90" i="12"/>
  <c r="AN90" i="12"/>
  <c r="AE90" i="12"/>
  <c r="M90" i="12"/>
  <c r="AW89" i="12"/>
  <c r="AN89" i="12"/>
  <c r="AE89" i="12"/>
  <c r="M89" i="12"/>
  <c r="AW88" i="12"/>
  <c r="AN88" i="12"/>
  <c r="AE88" i="12"/>
  <c r="M88" i="12"/>
  <c r="AW87" i="12"/>
  <c r="AN87" i="12"/>
  <c r="AE87" i="12"/>
  <c r="M87" i="12"/>
  <c r="AW86" i="12"/>
  <c r="AN86" i="12"/>
  <c r="AE86" i="12"/>
  <c r="M86" i="12"/>
  <c r="AW85" i="12"/>
  <c r="AN85" i="12"/>
  <c r="AE85" i="12"/>
  <c r="M85" i="12"/>
  <c r="AW84" i="12"/>
  <c r="AN84" i="12"/>
  <c r="AE84" i="12"/>
  <c r="M84" i="12"/>
  <c r="AW83" i="12"/>
  <c r="AN83" i="12"/>
  <c r="AE83" i="12"/>
  <c r="M83" i="12"/>
  <c r="AW82" i="12"/>
  <c r="AN82" i="12"/>
  <c r="AE82" i="12"/>
  <c r="M82" i="12"/>
  <c r="AW81" i="12"/>
  <c r="AN81" i="12"/>
  <c r="AE81" i="12"/>
  <c r="M81" i="12"/>
  <c r="AW80" i="12"/>
  <c r="AN80" i="12"/>
  <c r="AE80" i="12"/>
  <c r="M80" i="12"/>
  <c r="AW79" i="12"/>
  <c r="AN79" i="12"/>
  <c r="AE79" i="12"/>
  <c r="M79" i="12"/>
  <c r="AW78" i="12"/>
  <c r="AN78" i="12"/>
  <c r="AE78" i="12"/>
  <c r="M78" i="12"/>
  <c r="AW77" i="12"/>
  <c r="AN77" i="12"/>
  <c r="AE77" i="12"/>
  <c r="M77" i="12"/>
  <c r="AW76" i="12"/>
  <c r="AN76" i="12"/>
  <c r="AE76" i="12"/>
  <c r="M76" i="12"/>
  <c r="AW75" i="12"/>
  <c r="AN75" i="12"/>
  <c r="AE75" i="12"/>
  <c r="M75" i="12"/>
  <c r="AW74" i="12"/>
  <c r="AN74" i="12"/>
  <c r="AE74" i="12"/>
  <c r="M74" i="12"/>
  <c r="AW73" i="12"/>
  <c r="AN73" i="12"/>
  <c r="AE73" i="12"/>
  <c r="M73" i="12"/>
  <c r="AW72" i="12"/>
  <c r="AN72" i="12"/>
  <c r="AE72" i="12"/>
  <c r="M72" i="12"/>
  <c r="AW71" i="12"/>
  <c r="AN71" i="12"/>
  <c r="AE71" i="12"/>
  <c r="M71" i="12"/>
  <c r="AW70" i="12"/>
  <c r="AN70" i="12"/>
  <c r="AE70" i="12"/>
  <c r="M70" i="12"/>
  <c r="AW69" i="12"/>
  <c r="AN69" i="12"/>
  <c r="AE69" i="12"/>
  <c r="M69" i="12"/>
  <c r="AW68" i="12"/>
  <c r="AN68" i="12"/>
  <c r="AE68" i="12"/>
  <c r="M68" i="12"/>
  <c r="AW67" i="12"/>
  <c r="AN67" i="12"/>
  <c r="AE67" i="12"/>
  <c r="M67" i="12"/>
  <c r="AW66" i="12"/>
  <c r="AN66" i="12"/>
  <c r="AE66" i="12"/>
  <c r="M66" i="12"/>
  <c r="AW65" i="12"/>
  <c r="AN65" i="12"/>
  <c r="AE65" i="12"/>
  <c r="M65" i="12"/>
  <c r="AW64" i="12"/>
  <c r="AN64" i="12"/>
  <c r="AE64" i="12"/>
  <c r="M64" i="12"/>
  <c r="AW63" i="12"/>
  <c r="AN63" i="12"/>
  <c r="AE63" i="12"/>
  <c r="M63" i="12"/>
  <c r="AW62" i="12"/>
  <c r="AN62" i="12"/>
  <c r="AE62" i="12"/>
  <c r="M62" i="12"/>
  <c r="AW61" i="12"/>
  <c r="AN61" i="12"/>
  <c r="AE61" i="12"/>
  <c r="M61" i="12"/>
  <c r="AW60" i="12"/>
  <c r="AN60" i="12"/>
  <c r="AE60" i="12"/>
  <c r="M60" i="12"/>
  <c r="AW59" i="12"/>
  <c r="AN59" i="12"/>
  <c r="AE59" i="12"/>
  <c r="M59" i="12"/>
  <c r="AW58" i="12"/>
  <c r="AN58" i="12"/>
  <c r="AE58" i="12"/>
  <c r="M58" i="12"/>
  <c r="AW57" i="12"/>
  <c r="AN57" i="12"/>
  <c r="AE57" i="12"/>
  <c r="M57" i="12"/>
  <c r="AW56" i="12"/>
  <c r="AN56" i="12"/>
  <c r="AE56" i="12"/>
  <c r="M56" i="12"/>
  <c r="AW55" i="12"/>
  <c r="AN55" i="12"/>
  <c r="AE55" i="12"/>
  <c r="M55" i="12"/>
  <c r="AW54" i="12"/>
  <c r="AN54" i="12"/>
  <c r="AE54" i="12"/>
  <c r="M54" i="12"/>
  <c r="AW53" i="12"/>
  <c r="AN53" i="12"/>
  <c r="AE53" i="12"/>
  <c r="M53" i="12"/>
  <c r="AW52" i="12"/>
  <c r="AN52" i="12"/>
  <c r="AE52" i="12"/>
  <c r="M52" i="12"/>
  <c r="AW51" i="12"/>
  <c r="AN51" i="12"/>
  <c r="AE51" i="12"/>
  <c r="M51" i="12"/>
  <c r="AW50" i="12"/>
  <c r="AN50" i="12"/>
  <c r="AE50" i="12"/>
  <c r="M50" i="12"/>
  <c r="AW49" i="12"/>
  <c r="AN49" i="12"/>
  <c r="AE49" i="12"/>
  <c r="M49" i="12"/>
  <c r="AW48" i="12"/>
  <c r="AN48" i="12"/>
  <c r="AE48" i="12"/>
  <c r="M48" i="12"/>
  <c r="AW47" i="12"/>
  <c r="AN47" i="12"/>
  <c r="AE47" i="12"/>
  <c r="M47" i="12"/>
  <c r="AW46" i="12"/>
  <c r="AN46" i="12"/>
  <c r="AE46" i="12"/>
  <c r="M46" i="12"/>
  <c r="AW45" i="12"/>
  <c r="AN45" i="12"/>
  <c r="AE45" i="12"/>
  <c r="M45" i="12"/>
  <c r="AW44" i="12"/>
  <c r="AN44" i="12"/>
  <c r="AE44" i="12"/>
  <c r="M44" i="12"/>
  <c r="AW43" i="12"/>
  <c r="AN43" i="12"/>
  <c r="AE43" i="12"/>
  <c r="M43" i="12"/>
  <c r="AW42" i="12"/>
  <c r="AN42" i="12"/>
  <c r="AE42" i="12"/>
  <c r="M42" i="12"/>
  <c r="AW41" i="12"/>
  <c r="AN41" i="12"/>
  <c r="AE41" i="12"/>
  <c r="M41" i="12"/>
  <c r="AW40" i="12"/>
  <c r="AN40" i="12"/>
  <c r="AE40" i="12"/>
  <c r="M40" i="12"/>
  <c r="AW39" i="12"/>
  <c r="AN39" i="12"/>
  <c r="AE39" i="12"/>
  <c r="M39" i="12"/>
  <c r="AW38" i="12"/>
  <c r="AN38" i="12"/>
  <c r="AE38" i="12"/>
  <c r="M38" i="12"/>
  <c r="AW37" i="12"/>
  <c r="AN37" i="12"/>
  <c r="AE37" i="12"/>
  <c r="M37" i="12"/>
  <c r="AW36" i="12"/>
  <c r="AN36" i="12"/>
  <c r="AE36" i="12"/>
  <c r="M36" i="12"/>
  <c r="AW35" i="12"/>
  <c r="AN35" i="12"/>
  <c r="AE35" i="12"/>
  <c r="M35" i="12"/>
  <c r="AW34" i="12"/>
  <c r="AN34" i="12"/>
  <c r="AE34" i="12"/>
  <c r="M34" i="12"/>
  <c r="AW33" i="12"/>
  <c r="AN33" i="12"/>
  <c r="AE33" i="12"/>
  <c r="M33" i="12"/>
  <c r="AW32" i="12"/>
  <c r="AN32" i="12"/>
  <c r="AE32" i="12"/>
  <c r="M32" i="12"/>
  <c r="AW31" i="12"/>
  <c r="AN31" i="12"/>
  <c r="AE31" i="12"/>
  <c r="M31" i="12"/>
  <c r="AW30" i="12"/>
  <c r="AN30" i="12"/>
  <c r="AE30" i="12"/>
  <c r="M30" i="12"/>
  <c r="AW29" i="12"/>
  <c r="AN29" i="12"/>
  <c r="AE29" i="12"/>
  <c r="M29" i="12"/>
  <c r="AW28" i="12"/>
  <c r="AN28" i="12"/>
  <c r="AE28" i="12"/>
  <c r="M28" i="12"/>
  <c r="AW27" i="12"/>
  <c r="AN27" i="12"/>
  <c r="AE27" i="12"/>
  <c r="M27" i="12"/>
  <c r="AW26" i="12"/>
  <c r="AN26" i="12"/>
  <c r="AE26" i="12"/>
  <c r="M26" i="12"/>
  <c r="AW25" i="12"/>
  <c r="AN25" i="12"/>
  <c r="AE25" i="12"/>
  <c r="M25" i="12"/>
  <c r="AW24" i="12"/>
  <c r="AN24" i="12"/>
  <c r="AE24" i="12"/>
  <c r="M24" i="12"/>
  <c r="AW23" i="12"/>
  <c r="AN23" i="12"/>
  <c r="AE23" i="12"/>
  <c r="M23" i="12"/>
  <c r="AW22" i="12"/>
  <c r="AN22" i="12"/>
  <c r="AE22" i="12"/>
  <c r="M22" i="12"/>
  <c r="AW21" i="12"/>
  <c r="AN21" i="12"/>
  <c r="AE21" i="12"/>
  <c r="M21" i="12"/>
  <c r="AW20" i="12"/>
  <c r="AN20" i="12"/>
  <c r="AE20" i="12"/>
  <c r="M20" i="12"/>
  <c r="AW19" i="12"/>
  <c r="AN19" i="12"/>
  <c r="AE19" i="12"/>
  <c r="M19" i="12"/>
  <c r="AW18" i="12"/>
  <c r="AN18" i="12"/>
  <c r="AE18" i="12"/>
  <c r="M18" i="12"/>
  <c r="AW17" i="12"/>
  <c r="AN17" i="12"/>
  <c r="AE17" i="12"/>
  <c r="M17" i="12"/>
  <c r="AW16" i="12"/>
  <c r="AN16" i="12"/>
  <c r="AE16" i="12"/>
  <c r="M16" i="12"/>
  <c r="AW15" i="12"/>
  <c r="AN15" i="12"/>
  <c r="AE15" i="12"/>
  <c r="M15" i="12"/>
  <c r="AW14" i="12"/>
  <c r="AN14" i="12"/>
  <c r="AE14" i="12"/>
  <c r="M14" i="12"/>
  <c r="AW13" i="12"/>
  <c r="AN13" i="12"/>
  <c r="AE13" i="12"/>
  <c r="M13" i="12"/>
  <c r="AW12" i="12"/>
  <c r="AN12" i="12"/>
  <c r="AE12" i="12"/>
  <c r="M12" i="12"/>
  <c r="AW11" i="12"/>
  <c r="AN11" i="12"/>
  <c r="AE11" i="12"/>
  <c r="M11" i="12"/>
  <c r="AW10" i="12"/>
  <c r="AN10" i="12"/>
  <c r="AE10" i="12"/>
  <c r="M10" i="12"/>
  <c r="AW9" i="12"/>
  <c r="AN9" i="12"/>
  <c r="AE9" i="12"/>
  <c r="M9" i="12"/>
  <c r="AW8" i="12"/>
  <c r="AN8" i="12"/>
  <c r="AE8" i="12"/>
  <c r="M8" i="12"/>
  <c r="AW7" i="12"/>
  <c r="AN7" i="12"/>
  <c r="AE7" i="12"/>
  <c r="M7" i="12"/>
  <c r="AW6" i="12"/>
  <c r="AN6" i="12"/>
  <c r="AE6" i="12"/>
  <c r="M6" i="12"/>
  <c r="AW5" i="12"/>
  <c r="AN5" i="12"/>
  <c r="AE5" i="12"/>
  <c r="M5" i="12"/>
  <c r="AW80" i="11"/>
  <c r="AN80" i="11"/>
  <c r="AE80" i="11"/>
  <c r="M80" i="11"/>
  <c r="AW79" i="11"/>
  <c r="AN79" i="11"/>
  <c r="AE79" i="11"/>
  <c r="M79" i="11"/>
  <c r="AW78" i="11"/>
  <c r="AN78" i="11"/>
  <c r="AE78" i="11"/>
  <c r="M78" i="11"/>
  <c r="AW77" i="11"/>
  <c r="AN77" i="11"/>
  <c r="AE77" i="11"/>
  <c r="M77" i="11"/>
  <c r="AW76" i="11"/>
  <c r="AN76" i="11"/>
  <c r="AE76" i="11"/>
  <c r="M76" i="11"/>
  <c r="AW75" i="11"/>
  <c r="AN75" i="11"/>
  <c r="AE75" i="11"/>
  <c r="M75" i="11"/>
  <c r="AW74" i="11"/>
  <c r="AN74" i="11"/>
  <c r="AE74" i="11"/>
  <c r="M74" i="11"/>
  <c r="AW73" i="11"/>
  <c r="AN73" i="11"/>
  <c r="AE73" i="11"/>
  <c r="M73" i="11"/>
  <c r="AW72" i="11"/>
  <c r="AN72" i="11"/>
  <c r="AE72" i="11"/>
  <c r="M72" i="11"/>
  <c r="AW71" i="11"/>
  <c r="AN71" i="11"/>
  <c r="AE71" i="11"/>
  <c r="M71" i="11"/>
  <c r="AW70" i="11"/>
  <c r="AN70" i="11"/>
  <c r="AE70" i="11"/>
  <c r="M70" i="11"/>
  <c r="AW69" i="11"/>
  <c r="AN69" i="11"/>
  <c r="AE69" i="11"/>
  <c r="M69" i="11"/>
  <c r="AW68" i="11"/>
  <c r="AN68" i="11"/>
  <c r="AE68" i="11"/>
  <c r="M68" i="11"/>
  <c r="AW67" i="11"/>
  <c r="AN67" i="11"/>
  <c r="AE67" i="11"/>
  <c r="M67" i="11"/>
  <c r="AW66" i="11"/>
  <c r="AN66" i="11"/>
  <c r="AE66" i="11"/>
  <c r="M66" i="11"/>
  <c r="AW65" i="11"/>
  <c r="AN65" i="11"/>
  <c r="AE65" i="11"/>
  <c r="M65" i="11"/>
  <c r="AW64" i="11"/>
  <c r="AN64" i="11"/>
  <c r="AE64" i="11"/>
  <c r="M64" i="11"/>
  <c r="AW63" i="11"/>
  <c r="AN63" i="11"/>
  <c r="AE63" i="11"/>
  <c r="M63" i="11"/>
  <c r="AW62" i="11"/>
  <c r="AN62" i="11"/>
  <c r="AE62" i="11"/>
  <c r="M62" i="11"/>
  <c r="AW61" i="11"/>
  <c r="AN61" i="11"/>
  <c r="AE61" i="11"/>
  <c r="M61" i="11"/>
  <c r="AW60" i="11"/>
  <c r="AN60" i="11"/>
  <c r="AE60" i="11"/>
  <c r="M60" i="11"/>
  <c r="AW59" i="11"/>
  <c r="AN59" i="11"/>
  <c r="AE59" i="11"/>
  <c r="M59" i="11"/>
  <c r="AW58" i="11"/>
  <c r="AN58" i="11"/>
  <c r="AE58" i="11"/>
  <c r="M58" i="11"/>
  <c r="AW57" i="11"/>
  <c r="AN57" i="11"/>
  <c r="AE57" i="11"/>
  <c r="M57" i="11"/>
  <c r="AW56" i="11"/>
  <c r="AN56" i="11"/>
  <c r="AE56" i="11"/>
  <c r="M56" i="11"/>
  <c r="AW55" i="11"/>
  <c r="AN55" i="11"/>
  <c r="AE55" i="11"/>
  <c r="M55" i="11"/>
  <c r="AW54" i="11"/>
  <c r="AN54" i="11"/>
  <c r="AE54" i="11"/>
  <c r="M54" i="11"/>
  <c r="AW53" i="11"/>
  <c r="AN53" i="11"/>
  <c r="AE53" i="11"/>
  <c r="M53" i="11"/>
  <c r="AW52" i="11"/>
  <c r="AN52" i="11"/>
  <c r="AE52" i="11"/>
  <c r="M52" i="11"/>
  <c r="AW51" i="11"/>
  <c r="AN51" i="11"/>
  <c r="AE51" i="11"/>
  <c r="M51" i="11"/>
  <c r="AW50" i="11"/>
  <c r="AN50" i="11"/>
  <c r="AE50" i="11"/>
  <c r="M50" i="11"/>
  <c r="AW49" i="11"/>
  <c r="AN49" i="11"/>
  <c r="AE49" i="11"/>
  <c r="M49" i="11"/>
  <c r="AW48" i="11"/>
  <c r="AN48" i="11"/>
  <c r="AE48" i="11"/>
  <c r="M48" i="11"/>
  <c r="AW47" i="11"/>
  <c r="AN47" i="11"/>
  <c r="AE47" i="11"/>
  <c r="M47" i="11"/>
  <c r="AW46" i="11"/>
  <c r="AN46" i="11"/>
  <c r="AE46" i="11"/>
  <c r="M46" i="11"/>
  <c r="AW45" i="11"/>
  <c r="AN45" i="11"/>
  <c r="AE45" i="11"/>
  <c r="M45" i="11"/>
  <c r="AW44" i="11"/>
  <c r="AN44" i="11"/>
  <c r="AE44" i="11"/>
  <c r="M44" i="11"/>
  <c r="AW43" i="11"/>
  <c r="AN43" i="11"/>
  <c r="AE43" i="11"/>
  <c r="M43" i="11"/>
  <c r="AW42" i="11"/>
  <c r="AN42" i="11"/>
  <c r="AE42" i="11"/>
  <c r="M42" i="11"/>
  <c r="AW41" i="11"/>
  <c r="AN41" i="11"/>
  <c r="AE41" i="11"/>
  <c r="M41" i="11"/>
  <c r="AW40" i="11"/>
  <c r="AN40" i="11"/>
  <c r="AE40" i="11"/>
  <c r="M40" i="11"/>
  <c r="AW39" i="11"/>
  <c r="AN39" i="11"/>
  <c r="AE39" i="11"/>
  <c r="M39" i="11"/>
  <c r="AW38" i="11"/>
  <c r="AN38" i="11"/>
  <c r="AE38" i="11"/>
  <c r="M38" i="11"/>
  <c r="AW37" i="11"/>
  <c r="AN37" i="11"/>
  <c r="AE37" i="11"/>
  <c r="M37" i="11"/>
  <c r="AW36" i="11"/>
  <c r="AN36" i="11"/>
  <c r="AE36" i="11"/>
  <c r="M36" i="11"/>
  <c r="AW35" i="11"/>
  <c r="AN35" i="11"/>
  <c r="AE35" i="11"/>
  <c r="M35" i="11"/>
  <c r="AW34" i="11"/>
  <c r="AN34" i="11"/>
  <c r="AE34" i="11"/>
  <c r="M34" i="11"/>
  <c r="AW33" i="11"/>
  <c r="AN33" i="11"/>
  <c r="AE33" i="11"/>
  <c r="M33" i="11"/>
  <c r="AW32" i="11"/>
  <c r="AN32" i="11"/>
  <c r="AE32" i="11"/>
  <c r="M32" i="11"/>
  <c r="AW31" i="11"/>
  <c r="AN31" i="11"/>
  <c r="AE31" i="11"/>
  <c r="M31" i="11"/>
  <c r="AW30" i="11"/>
  <c r="AN30" i="11"/>
  <c r="AE30" i="11"/>
  <c r="M30" i="11"/>
  <c r="AW29" i="11"/>
  <c r="AN29" i="11"/>
  <c r="AE29" i="11"/>
  <c r="M29" i="11"/>
  <c r="AW28" i="11"/>
  <c r="AN28" i="11"/>
  <c r="AE28" i="11"/>
  <c r="M28" i="11"/>
  <c r="AW27" i="11"/>
  <c r="AN27" i="11"/>
  <c r="AE27" i="11"/>
  <c r="M27" i="11"/>
  <c r="AW26" i="11"/>
  <c r="AN26" i="11"/>
  <c r="AE26" i="11"/>
  <c r="M26" i="11"/>
  <c r="AW25" i="11"/>
  <c r="AN25" i="11"/>
  <c r="AE25" i="11"/>
  <c r="M25" i="11"/>
  <c r="AW24" i="11"/>
  <c r="AN24" i="11"/>
  <c r="AE24" i="11"/>
  <c r="M24" i="11"/>
  <c r="AW23" i="11"/>
  <c r="AN23" i="11"/>
  <c r="AE23" i="11"/>
  <c r="M23" i="11"/>
  <c r="AW22" i="11"/>
  <c r="AN22" i="11"/>
  <c r="AE22" i="11"/>
  <c r="M22" i="11"/>
  <c r="AW21" i="11"/>
  <c r="AN21" i="11"/>
  <c r="AE21" i="11"/>
  <c r="M21" i="11"/>
  <c r="AW20" i="11"/>
  <c r="AN20" i="11"/>
  <c r="AE20" i="11"/>
  <c r="M20" i="11"/>
  <c r="AW19" i="11"/>
  <c r="AN19" i="11"/>
  <c r="AE19" i="11"/>
  <c r="M19" i="11"/>
  <c r="AW18" i="11"/>
  <c r="AN18" i="11"/>
  <c r="AE18" i="11"/>
  <c r="M18" i="11"/>
  <c r="AW17" i="11"/>
  <c r="AN17" i="11"/>
  <c r="AE17" i="11"/>
  <c r="M17" i="11"/>
  <c r="AW16" i="11"/>
  <c r="AN16" i="11"/>
  <c r="AE16" i="11"/>
  <c r="M16" i="11"/>
  <c r="AW15" i="11"/>
  <c r="AN15" i="11"/>
  <c r="AE15" i="11"/>
  <c r="M15" i="11"/>
  <c r="AW14" i="11"/>
  <c r="AN14" i="11"/>
  <c r="AE14" i="11"/>
  <c r="M14" i="11"/>
  <c r="AW13" i="11"/>
  <c r="AN13" i="11"/>
  <c r="AE13" i="11"/>
  <c r="M13" i="11"/>
  <c r="AW12" i="11"/>
  <c r="AN12" i="11"/>
  <c r="AE12" i="11"/>
  <c r="M12" i="11"/>
  <c r="AW11" i="11"/>
  <c r="AN11" i="11"/>
  <c r="AE11" i="11"/>
  <c r="M11" i="11"/>
  <c r="AW10" i="11"/>
  <c r="AN10" i="11"/>
  <c r="AE10" i="11"/>
  <c r="M10" i="11"/>
  <c r="AW9" i="11"/>
  <c r="AN9" i="11"/>
  <c r="AE9" i="11"/>
  <c r="M9" i="11"/>
  <c r="AW8" i="11"/>
  <c r="AN8" i="11"/>
  <c r="AE8" i="11"/>
  <c r="M8" i="11"/>
  <c r="AW7" i="11"/>
  <c r="AN7" i="11"/>
  <c r="AE7" i="11"/>
  <c r="M7" i="11"/>
  <c r="AW6" i="11"/>
  <c r="AN6" i="11"/>
  <c r="AE6" i="11"/>
  <c r="M6" i="11"/>
  <c r="AW5" i="11"/>
  <c r="AN5" i="11"/>
  <c r="AE5" i="11"/>
  <c r="M5" i="11"/>
  <c r="AW39" i="10"/>
  <c r="AN39" i="10"/>
  <c r="AE39" i="10"/>
  <c r="M39" i="10"/>
  <c r="AW38" i="10"/>
  <c r="AN38" i="10"/>
  <c r="AE38" i="10"/>
  <c r="M38" i="10"/>
  <c r="AW37" i="10"/>
  <c r="AN37" i="10"/>
  <c r="AE37" i="10"/>
  <c r="M37" i="10"/>
  <c r="AW36" i="10"/>
  <c r="AN36" i="10"/>
  <c r="AE36" i="10"/>
  <c r="M36" i="10"/>
  <c r="AW35" i="10"/>
  <c r="AN35" i="10"/>
  <c r="AE35" i="10"/>
  <c r="M35" i="10"/>
  <c r="AW34" i="10"/>
  <c r="AN34" i="10"/>
  <c r="AE34" i="10"/>
  <c r="M34" i="10"/>
  <c r="AW33" i="10"/>
  <c r="AN33" i="10"/>
  <c r="AE33" i="10"/>
  <c r="M33" i="10"/>
  <c r="AW32" i="10"/>
  <c r="AN32" i="10"/>
  <c r="Q14" i="1" s="1"/>
  <c r="AE32" i="10"/>
  <c r="M32" i="10"/>
  <c r="AW31" i="10"/>
  <c r="AN31" i="10"/>
  <c r="AE31" i="10"/>
  <c r="M31" i="10"/>
  <c r="AW30" i="10"/>
  <c r="AN30" i="10"/>
  <c r="AE30" i="10"/>
  <c r="M30" i="10"/>
  <c r="AW29" i="10"/>
  <c r="AN29" i="10"/>
  <c r="AE29" i="10"/>
  <c r="M29" i="10"/>
  <c r="AW28" i="10"/>
  <c r="AN28" i="10"/>
  <c r="AE28" i="10"/>
  <c r="M28" i="10"/>
  <c r="AW27" i="10"/>
  <c r="AN27" i="10"/>
  <c r="AE27" i="10"/>
  <c r="M27" i="10"/>
  <c r="AW26" i="10"/>
  <c r="AN26" i="10"/>
  <c r="AE26" i="10"/>
  <c r="M26" i="10"/>
  <c r="AW25" i="10"/>
  <c r="AN25" i="10"/>
  <c r="AE25" i="10"/>
  <c r="M25" i="10"/>
  <c r="AW24" i="10"/>
  <c r="AN24" i="10"/>
  <c r="AE24" i="10"/>
  <c r="M24" i="10"/>
  <c r="AW23" i="10"/>
  <c r="AN23" i="10"/>
  <c r="AE23" i="10"/>
  <c r="M23" i="10"/>
  <c r="AW22" i="10"/>
  <c r="AN22" i="10"/>
  <c r="AE22" i="10"/>
  <c r="M22" i="10"/>
  <c r="AW21" i="10"/>
  <c r="AN21" i="10"/>
  <c r="AE21" i="10"/>
  <c r="M21" i="10"/>
  <c r="AW20" i="10"/>
  <c r="AN20" i="10"/>
  <c r="AE20" i="10"/>
  <c r="M20" i="10"/>
  <c r="AW19" i="10"/>
  <c r="AN19" i="10"/>
  <c r="AE19" i="10"/>
  <c r="M19" i="10"/>
  <c r="AW18" i="10"/>
  <c r="AN18" i="10"/>
  <c r="AE18" i="10"/>
  <c r="M18" i="10"/>
  <c r="AW17" i="10"/>
  <c r="AN17" i="10"/>
  <c r="AE17" i="10"/>
  <c r="M17" i="10"/>
  <c r="AW16" i="10"/>
  <c r="AN16" i="10"/>
  <c r="AE16" i="10"/>
  <c r="M16" i="10"/>
  <c r="AW15" i="10"/>
  <c r="AN15" i="10"/>
  <c r="AE15" i="10"/>
  <c r="M15" i="10"/>
  <c r="AW14" i="10"/>
  <c r="AN14" i="10"/>
  <c r="AE14" i="10"/>
  <c r="M14" i="10"/>
  <c r="AW13" i="10"/>
  <c r="AN13" i="10"/>
  <c r="AE13" i="10"/>
  <c r="M13" i="10"/>
  <c r="AW12" i="10"/>
  <c r="AN12" i="10"/>
  <c r="AE12" i="10"/>
  <c r="M12" i="10"/>
  <c r="AW11" i="10"/>
  <c r="AN11" i="10"/>
  <c r="AE11" i="10"/>
  <c r="M11" i="10"/>
  <c r="AW10" i="10"/>
  <c r="AN10" i="10"/>
  <c r="AE10" i="10"/>
  <c r="M10" i="10"/>
  <c r="AW9" i="10"/>
  <c r="AN9" i="10"/>
  <c r="AE9" i="10"/>
  <c r="M9" i="10"/>
  <c r="AW8" i="10"/>
  <c r="AN8" i="10"/>
  <c r="AE8" i="10"/>
  <c r="M8" i="10"/>
  <c r="AW7" i="10"/>
  <c r="AN7" i="10"/>
  <c r="AE7" i="10"/>
  <c r="M7" i="10"/>
  <c r="AW6" i="10"/>
  <c r="U14" i="1" s="1"/>
  <c r="AN6" i="10"/>
  <c r="AE6" i="10"/>
  <c r="M6" i="10"/>
  <c r="AW5" i="10"/>
  <c r="AN5" i="10"/>
  <c r="AE5" i="10"/>
  <c r="M5" i="10"/>
  <c r="AW26" i="9"/>
  <c r="AN26" i="9"/>
  <c r="AE26" i="9"/>
  <c r="M26" i="9"/>
  <c r="AW25" i="9"/>
  <c r="AN25" i="9"/>
  <c r="AE25" i="9"/>
  <c r="M25" i="9"/>
  <c r="AW24" i="9"/>
  <c r="AN24" i="9"/>
  <c r="AE24" i="9"/>
  <c r="M24" i="9"/>
  <c r="AW23" i="9"/>
  <c r="AN23" i="9"/>
  <c r="AE23" i="9"/>
  <c r="M23" i="9"/>
  <c r="AW22" i="9"/>
  <c r="AN22" i="9"/>
  <c r="AE22" i="9"/>
  <c r="M22" i="9"/>
  <c r="AW21" i="9"/>
  <c r="AN21" i="9"/>
  <c r="AE21" i="9"/>
  <c r="M21" i="9"/>
  <c r="AW20" i="9"/>
  <c r="AN20" i="9"/>
  <c r="AE20" i="9"/>
  <c r="M20" i="9"/>
  <c r="AW19" i="9"/>
  <c r="AN19" i="9"/>
  <c r="AE19" i="9"/>
  <c r="M19" i="9"/>
  <c r="AW18" i="9"/>
  <c r="AN18" i="9"/>
  <c r="AE18" i="9"/>
  <c r="M18" i="9"/>
  <c r="AW17" i="9"/>
  <c r="AN17" i="9"/>
  <c r="AE17" i="9"/>
  <c r="M17" i="9"/>
  <c r="AW16" i="9"/>
  <c r="AN16" i="9"/>
  <c r="AE16" i="9"/>
  <c r="M16" i="9"/>
  <c r="AW15" i="9"/>
  <c r="AN15" i="9"/>
  <c r="AE15" i="9"/>
  <c r="M15" i="9"/>
  <c r="AW14" i="9"/>
  <c r="AN14" i="9"/>
  <c r="AE14" i="9"/>
  <c r="M14" i="9"/>
  <c r="AW13" i="9"/>
  <c r="AN13" i="9"/>
  <c r="AE13" i="9"/>
  <c r="M13" i="9"/>
  <c r="AW12" i="9"/>
  <c r="U13" i="1" s="1"/>
  <c r="AN12" i="9"/>
  <c r="AE12" i="9"/>
  <c r="M12" i="9"/>
  <c r="AW11" i="9"/>
  <c r="AN11" i="9"/>
  <c r="AE11" i="9"/>
  <c r="I13" i="1"/>
  <c r="M11" i="9"/>
  <c r="AW10" i="9"/>
  <c r="AN10" i="9"/>
  <c r="AE10" i="9"/>
  <c r="M10" i="9"/>
  <c r="AW9" i="9"/>
  <c r="AN9" i="9"/>
  <c r="Q13" i="1" s="1"/>
  <c r="AE9" i="9"/>
  <c r="M9" i="9"/>
  <c r="AW8" i="9"/>
  <c r="AN8" i="9"/>
  <c r="AE8" i="9"/>
  <c r="M8" i="9"/>
  <c r="AW7" i="9"/>
  <c r="AN7" i="9"/>
  <c r="AE7" i="9"/>
  <c r="M7" i="9"/>
  <c r="AW6" i="9"/>
  <c r="AN6" i="9"/>
  <c r="AE6" i="9"/>
  <c r="M13" i="1" s="1"/>
  <c r="M6" i="9"/>
  <c r="AW5" i="9"/>
  <c r="AN5" i="9"/>
  <c r="AE5" i="9"/>
  <c r="M5" i="9"/>
  <c r="AW15" i="8"/>
  <c r="AN15" i="8"/>
  <c r="AE15" i="8"/>
  <c r="M15" i="8"/>
  <c r="AW14" i="8"/>
  <c r="AN14" i="8"/>
  <c r="AE14" i="8"/>
  <c r="M14" i="8"/>
  <c r="AW13" i="8"/>
  <c r="AN13" i="8"/>
  <c r="AE13" i="8"/>
  <c r="M13" i="8"/>
  <c r="AW12" i="8"/>
  <c r="AN12" i="8"/>
  <c r="P12" i="1" s="1"/>
  <c r="AE12" i="8"/>
  <c r="M12" i="8"/>
  <c r="AW11" i="8"/>
  <c r="AN11" i="8"/>
  <c r="AE11" i="8"/>
  <c r="M11" i="8"/>
  <c r="AW10" i="8"/>
  <c r="AN10" i="8"/>
  <c r="AE10" i="8"/>
  <c r="M10" i="8"/>
  <c r="AW9" i="8"/>
  <c r="AN9" i="8"/>
  <c r="AE9" i="8"/>
  <c r="L12" i="1" s="1"/>
  <c r="M9" i="8"/>
  <c r="AW8" i="8"/>
  <c r="AN8" i="8"/>
  <c r="AE8" i="8"/>
  <c r="M8" i="8"/>
  <c r="AW7" i="8"/>
  <c r="U12" i="1" s="1"/>
  <c r="AN7" i="8"/>
  <c r="AE7" i="8"/>
  <c r="M7" i="8"/>
  <c r="AW6" i="8"/>
  <c r="AN6" i="8"/>
  <c r="AE6" i="8"/>
  <c r="M6" i="8"/>
  <c r="AW5" i="8"/>
  <c r="AN5" i="8"/>
  <c r="AE5" i="8"/>
  <c r="M5" i="8"/>
  <c r="AW5" i="7"/>
  <c r="AN5" i="7"/>
  <c r="AE5" i="7"/>
  <c r="M5" i="7"/>
  <c r="AW1413" i="6"/>
  <c r="AN1413" i="6"/>
  <c r="AE1413" i="6"/>
  <c r="M1413" i="6"/>
  <c r="AW1412" i="6"/>
  <c r="AN1412" i="6"/>
  <c r="AE1412" i="6"/>
  <c r="M1412" i="6"/>
  <c r="AW1411" i="6"/>
  <c r="AN1411" i="6"/>
  <c r="AE1411" i="6"/>
  <c r="M1411" i="6"/>
  <c r="AW1410" i="6"/>
  <c r="AN1410" i="6"/>
  <c r="AE1410" i="6"/>
  <c r="M1410" i="6"/>
  <c r="AW1409" i="6"/>
  <c r="AN1409" i="6"/>
  <c r="AE1409" i="6"/>
  <c r="M1409" i="6"/>
  <c r="AW1408" i="6"/>
  <c r="AN1408" i="6"/>
  <c r="AE1408" i="6"/>
  <c r="M1408" i="6"/>
  <c r="AW1407" i="6"/>
  <c r="AN1407" i="6"/>
  <c r="AE1407" i="6"/>
  <c r="M1407" i="6"/>
  <c r="AW1406" i="6"/>
  <c r="AN1406" i="6"/>
  <c r="AE1406" i="6"/>
  <c r="M1406" i="6"/>
  <c r="AW1405" i="6"/>
  <c r="AN1405" i="6"/>
  <c r="AE1405" i="6"/>
  <c r="M1405" i="6"/>
  <c r="AW1404" i="6"/>
  <c r="AN1404" i="6"/>
  <c r="AE1404" i="6"/>
  <c r="M1404" i="6"/>
  <c r="AW1403" i="6"/>
  <c r="AN1403" i="6"/>
  <c r="AE1403" i="6"/>
  <c r="M1403" i="6"/>
  <c r="AW1402" i="6"/>
  <c r="AN1402" i="6"/>
  <c r="AE1402" i="6"/>
  <c r="M1402" i="6"/>
  <c r="AW1401" i="6"/>
  <c r="AN1401" i="6"/>
  <c r="AE1401" i="6"/>
  <c r="M1401" i="6"/>
  <c r="AW1400" i="6"/>
  <c r="AN1400" i="6"/>
  <c r="AE1400" i="6"/>
  <c r="M1400" i="6"/>
  <c r="AW1399" i="6"/>
  <c r="AN1399" i="6"/>
  <c r="AE1399" i="6"/>
  <c r="M1399" i="6"/>
  <c r="AW1398" i="6"/>
  <c r="AN1398" i="6"/>
  <c r="AE1398" i="6"/>
  <c r="M1398" i="6"/>
  <c r="AW1397" i="6"/>
  <c r="AN1397" i="6"/>
  <c r="AE1397" i="6"/>
  <c r="M1397" i="6"/>
  <c r="AW1396" i="6"/>
  <c r="AN1396" i="6"/>
  <c r="AE1396" i="6"/>
  <c r="M1396" i="6"/>
  <c r="AW1395" i="6"/>
  <c r="AN1395" i="6"/>
  <c r="AE1395" i="6"/>
  <c r="M1395" i="6"/>
  <c r="AW1394" i="6"/>
  <c r="AN1394" i="6"/>
  <c r="AE1394" i="6"/>
  <c r="M1394" i="6"/>
  <c r="AW1393" i="6"/>
  <c r="AN1393" i="6"/>
  <c r="AE1393" i="6"/>
  <c r="M1393" i="6"/>
  <c r="AW1392" i="6"/>
  <c r="AN1392" i="6"/>
  <c r="AE1392" i="6"/>
  <c r="M1392" i="6"/>
  <c r="AW1391" i="6"/>
  <c r="AN1391" i="6"/>
  <c r="AE1391" i="6"/>
  <c r="M1391" i="6"/>
  <c r="AW1390" i="6"/>
  <c r="AN1390" i="6"/>
  <c r="AE1390" i="6"/>
  <c r="M1390" i="6"/>
  <c r="AW1389" i="6"/>
  <c r="AN1389" i="6"/>
  <c r="AE1389" i="6"/>
  <c r="M1389" i="6"/>
  <c r="AW1388" i="6"/>
  <c r="AN1388" i="6"/>
  <c r="AE1388" i="6"/>
  <c r="M1388" i="6"/>
  <c r="AW1387" i="6"/>
  <c r="AN1387" i="6"/>
  <c r="AE1387" i="6"/>
  <c r="M1387" i="6"/>
  <c r="AW1386" i="6"/>
  <c r="AN1386" i="6"/>
  <c r="AE1386" i="6"/>
  <c r="M1386" i="6"/>
  <c r="AW1385" i="6"/>
  <c r="AN1385" i="6"/>
  <c r="AE1385" i="6"/>
  <c r="M1385" i="6"/>
  <c r="AW1384" i="6"/>
  <c r="AN1384" i="6"/>
  <c r="AE1384" i="6"/>
  <c r="M1384" i="6"/>
  <c r="AW1383" i="6"/>
  <c r="AN1383" i="6"/>
  <c r="AE1383" i="6"/>
  <c r="M1383" i="6"/>
  <c r="AW1382" i="6"/>
  <c r="AN1382" i="6"/>
  <c r="AE1382" i="6"/>
  <c r="M1382" i="6"/>
  <c r="AW1381" i="6"/>
  <c r="AN1381" i="6"/>
  <c r="AE1381" i="6"/>
  <c r="M1381" i="6"/>
  <c r="AW1380" i="6"/>
  <c r="AN1380" i="6"/>
  <c r="AE1380" i="6"/>
  <c r="M1380" i="6"/>
  <c r="AW1379" i="6"/>
  <c r="AN1379" i="6"/>
  <c r="AE1379" i="6"/>
  <c r="M1379" i="6"/>
  <c r="AW1378" i="6"/>
  <c r="AN1378" i="6"/>
  <c r="AE1378" i="6"/>
  <c r="M1378" i="6"/>
  <c r="AW1377" i="6"/>
  <c r="AN1377" i="6"/>
  <c r="AE1377" i="6"/>
  <c r="M1377" i="6"/>
  <c r="AW1376" i="6"/>
  <c r="AN1376" i="6"/>
  <c r="AE1376" i="6"/>
  <c r="M1376" i="6"/>
  <c r="AW1375" i="6"/>
  <c r="AN1375" i="6"/>
  <c r="AE1375" i="6"/>
  <c r="M1375" i="6"/>
  <c r="AW1374" i="6"/>
  <c r="AN1374" i="6"/>
  <c r="AE1374" i="6"/>
  <c r="M1374" i="6"/>
  <c r="AW1373" i="6"/>
  <c r="AN1373" i="6"/>
  <c r="AE1373" i="6"/>
  <c r="M1373" i="6"/>
  <c r="AW1372" i="6"/>
  <c r="AN1372" i="6"/>
  <c r="AE1372" i="6"/>
  <c r="M1372" i="6"/>
  <c r="AW1371" i="6"/>
  <c r="AN1371" i="6"/>
  <c r="AE1371" i="6"/>
  <c r="M1371" i="6"/>
  <c r="AW1370" i="6"/>
  <c r="AN1370" i="6"/>
  <c r="AE1370" i="6"/>
  <c r="M1370" i="6"/>
  <c r="AW1369" i="6"/>
  <c r="AN1369" i="6"/>
  <c r="AE1369" i="6"/>
  <c r="M1369" i="6"/>
  <c r="AW1368" i="6"/>
  <c r="AN1368" i="6"/>
  <c r="AE1368" i="6"/>
  <c r="M1368" i="6"/>
  <c r="AW1367" i="6"/>
  <c r="AN1367" i="6"/>
  <c r="AE1367" i="6"/>
  <c r="M1367" i="6"/>
  <c r="AW1366" i="6"/>
  <c r="AN1366" i="6"/>
  <c r="AE1366" i="6"/>
  <c r="M1366" i="6"/>
  <c r="AW1365" i="6"/>
  <c r="AN1365" i="6"/>
  <c r="AE1365" i="6"/>
  <c r="M1365" i="6"/>
  <c r="AW1364" i="6"/>
  <c r="AN1364" i="6"/>
  <c r="AE1364" i="6"/>
  <c r="M1364" i="6"/>
  <c r="AW1363" i="6"/>
  <c r="AN1363" i="6"/>
  <c r="AE1363" i="6"/>
  <c r="M1363" i="6"/>
  <c r="AW1362" i="6"/>
  <c r="AN1362" i="6"/>
  <c r="AE1362" i="6"/>
  <c r="M1362" i="6"/>
  <c r="AW1361" i="6"/>
  <c r="AN1361" i="6"/>
  <c r="AE1361" i="6"/>
  <c r="M1361" i="6"/>
  <c r="AW1360" i="6"/>
  <c r="AN1360" i="6"/>
  <c r="AE1360" i="6"/>
  <c r="M1360" i="6"/>
  <c r="AW1359" i="6"/>
  <c r="AN1359" i="6"/>
  <c r="AE1359" i="6"/>
  <c r="M1359" i="6"/>
  <c r="AW1358" i="6"/>
  <c r="AN1358" i="6"/>
  <c r="AE1358" i="6"/>
  <c r="M1358" i="6"/>
  <c r="AW1357" i="6"/>
  <c r="AN1357" i="6"/>
  <c r="AE1357" i="6"/>
  <c r="M1357" i="6"/>
  <c r="AW1356" i="6"/>
  <c r="AN1356" i="6"/>
  <c r="AE1356" i="6"/>
  <c r="M1356" i="6"/>
  <c r="AW1355" i="6"/>
  <c r="AN1355" i="6"/>
  <c r="AE1355" i="6"/>
  <c r="M1355" i="6"/>
  <c r="AW1354" i="6"/>
  <c r="AN1354" i="6"/>
  <c r="AE1354" i="6"/>
  <c r="M1354" i="6"/>
  <c r="AW1353" i="6"/>
  <c r="AN1353" i="6"/>
  <c r="AE1353" i="6"/>
  <c r="M1353" i="6"/>
  <c r="AW1352" i="6"/>
  <c r="AN1352" i="6"/>
  <c r="AE1352" i="6"/>
  <c r="M1352" i="6"/>
  <c r="AW1351" i="6"/>
  <c r="AN1351" i="6"/>
  <c r="AE1351" i="6"/>
  <c r="M1351" i="6"/>
  <c r="AW1350" i="6"/>
  <c r="AN1350" i="6"/>
  <c r="AE1350" i="6"/>
  <c r="M1350" i="6"/>
  <c r="AW1349" i="6"/>
  <c r="AN1349" i="6"/>
  <c r="AE1349" i="6"/>
  <c r="M1349" i="6"/>
  <c r="AW1348" i="6"/>
  <c r="AN1348" i="6"/>
  <c r="AE1348" i="6"/>
  <c r="M1348" i="6"/>
  <c r="AW1347" i="6"/>
  <c r="AN1347" i="6"/>
  <c r="AE1347" i="6"/>
  <c r="M1347" i="6"/>
  <c r="AW1346" i="6"/>
  <c r="AN1346" i="6"/>
  <c r="AE1346" i="6"/>
  <c r="M1346" i="6"/>
  <c r="AW1345" i="6"/>
  <c r="AN1345" i="6"/>
  <c r="AE1345" i="6"/>
  <c r="M1345" i="6"/>
  <c r="AW1344" i="6"/>
  <c r="AN1344" i="6"/>
  <c r="AE1344" i="6"/>
  <c r="M1344" i="6"/>
  <c r="AW1343" i="6"/>
  <c r="AN1343" i="6"/>
  <c r="AE1343" i="6"/>
  <c r="M1343" i="6"/>
  <c r="AW1342" i="6"/>
  <c r="AN1342" i="6"/>
  <c r="AE1342" i="6"/>
  <c r="M1342" i="6"/>
  <c r="AW1341" i="6"/>
  <c r="AN1341" i="6"/>
  <c r="AE1341" i="6"/>
  <c r="M1341" i="6"/>
  <c r="AW1340" i="6"/>
  <c r="AN1340" i="6"/>
  <c r="AE1340" i="6"/>
  <c r="M1340" i="6"/>
  <c r="AW1339" i="6"/>
  <c r="AN1339" i="6"/>
  <c r="AE1339" i="6"/>
  <c r="M1339" i="6"/>
  <c r="AW1338" i="6"/>
  <c r="AN1338" i="6"/>
  <c r="AE1338" i="6"/>
  <c r="M1338" i="6"/>
  <c r="AW1337" i="6"/>
  <c r="AN1337" i="6"/>
  <c r="AE1337" i="6"/>
  <c r="M1337" i="6"/>
  <c r="AW1336" i="6"/>
  <c r="AN1336" i="6"/>
  <c r="AE1336" i="6"/>
  <c r="M1336" i="6"/>
  <c r="AW1335" i="6"/>
  <c r="AN1335" i="6"/>
  <c r="AE1335" i="6"/>
  <c r="M1335" i="6"/>
  <c r="AW1334" i="6"/>
  <c r="AN1334" i="6"/>
  <c r="AE1334" i="6"/>
  <c r="M1334" i="6"/>
  <c r="AW1333" i="6"/>
  <c r="AN1333" i="6"/>
  <c r="AE1333" i="6"/>
  <c r="M1333" i="6"/>
  <c r="AW1332" i="6"/>
  <c r="AN1332" i="6"/>
  <c r="AE1332" i="6"/>
  <c r="M1332" i="6"/>
  <c r="AW1331" i="6"/>
  <c r="AN1331" i="6"/>
  <c r="AE1331" i="6"/>
  <c r="M1331" i="6"/>
  <c r="AW1330" i="6"/>
  <c r="AN1330" i="6"/>
  <c r="AE1330" i="6"/>
  <c r="M1330" i="6"/>
  <c r="AW1329" i="6"/>
  <c r="AN1329" i="6"/>
  <c r="AE1329" i="6"/>
  <c r="M1329" i="6"/>
  <c r="AW1328" i="6"/>
  <c r="AN1328" i="6"/>
  <c r="AE1328" i="6"/>
  <c r="M1328" i="6"/>
  <c r="AW1327" i="6"/>
  <c r="AN1327" i="6"/>
  <c r="AE1327" i="6"/>
  <c r="M1327" i="6"/>
  <c r="AW1326" i="6"/>
  <c r="AN1326" i="6"/>
  <c r="AE1326" i="6"/>
  <c r="M1326" i="6"/>
  <c r="AW1325" i="6"/>
  <c r="AN1325" i="6"/>
  <c r="AE1325" i="6"/>
  <c r="M1325" i="6"/>
  <c r="AW1324" i="6"/>
  <c r="AN1324" i="6"/>
  <c r="AE1324" i="6"/>
  <c r="M1324" i="6"/>
  <c r="AW1323" i="6"/>
  <c r="AN1323" i="6"/>
  <c r="AE1323" i="6"/>
  <c r="M1323" i="6"/>
  <c r="AW1322" i="6"/>
  <c r="AN1322" i="6"/>
  <c r="AE1322" i="6"/>
  <c r="M1322" i="6"/>
  <c r="AW1321" i="6"/>
  <c r="AN1321" i="6"/>
  <c r="AE1321" i="6"/>
  <c r="M1321" i="6"/>
  <c r="AW1320" i="6"/>
  <c r="AN1320" i="6"/>
  <c r="AE1320" i="6"/>
  <c r="M1320" i="6"/>
  <c r="AW1319" i="6"/>
  <c r="AN1319" i="6"/>
  <c r="AE1319" i="6"/>
  <c r="M1319" i="6"/>
  <c r="AW1318" i="6"/>
  <c r="AN1318" i="6"/>
  <c r="AE1318" i="6"/>
  <c r="M1318" i="6"/>
  <c r="AW1317" i="6"/>
  <c r="AN1317" i="6"/>
  <c r="AE1317" i="6"/>
  <c r="M1317" i="6"/>
  <c r="AW1316" i="6"/>
  <c r="AN1316" i="6"/>
  <c r="AE1316" i="6"/>
  <c r="M1316" i="6"/>
  <c r="AW1315" i="6"/>
  <c r="AN1315" i="6"/>
  <c r="AE1315" i="6"/>
  <c r="M1315" i="6"/>
  <c r="AW1314" i="6"/>
  <c r="AN1314" i="6"/>
  <c r="AE1314" i="6"/>
  <c r="M1314" i="6"/>
  <c r="AW1313" i="6"/>
  <c r="AN1313" i="6"/>
  <c r="AE1313" i="6"/>
  <c r="M1313" i="6"/>
  <c r="AW1312" i="6"/>
  <c r="AN1312" i="6"/>
  <c r="AE1312" i="6"/>
  <c r="M1312" i="6"/>
  <c r="AW1311" i="6"/>
  <c r="AN1311" i="6"/>
  <c r="AE1311" i="6"/>
  <c r="M1311" i="6"/>
  <c r="AW1310" i="6"/>
  <c r="AN1310" i="6"/>
  <c r="AE1310" i="6"/>
  <c r="M1310" i="6"/>
  <c r="AW1309" i="6"/>
  <c r="AN1309" i="6"/>
  <c r="AE1309" i="6"/>
  <c r="M1309" i="6"/>
  <c r="AW1308" i="6"/>
  <c r="AN1308" i="6"/>
  <c r="AE1308" i="6"/>
  <c r="M1308" i="6"/>
  <c r="AW1307" i="6"/>
  <c r="AN1307" i="6"/>
  <c r="AE1307" i="6"/>
  <c r="M1307" i="6"/>
  <c r="AW1306" i="6"/>
  <c r="AN1306" i="6"/>
  <c r="AE1306" i="6"/>
  <c r="M1306" i="6"/>
  <c r="AW1305" i="6"/>
  <c r="AN1305" i="6"/>
  <c r="AE1305" i="6"/>
  <c r="M1305" i="6"/>
  <c r="AW1304" i="6"/>
  <c r="AN1304" i="6"/>
  <c r="AE1304" i="6"/>
  <c r="M1304" i="6"/>
  <c r="AW1303" i="6"/>
  <c r="AN1303" i="6"/>
  <c r="AE1303" i="6"/>
  <c r="M1303" i="6"/>
  <c r="AW1302" i="6"/>
  <c r="AN1302" i="6"/>
  <c r="AE1302" i="6"/>
  <c r="M1302" i="6"/>
  <c r="AW1301" i="6"/>
  <c r="AN1301" i="6"/>
  <c r="AE1301" i="6"/>
  <c r="M1301" i="6"/>
  <c r="AW1300" i="6"/>
  <c r="AN1300" i="6"/>
  <c r="AE1300" i="6"/>
  <c r="M1300" i="6"/>
  <c r="AW1299" i="6"/>
  <c r="AN1299" i="6"/>
  <c r="AE1299" i="6"/>
  <c r="M1299" i="6"/>
  <c r="AW1298" i="6"/>
  <c r="AN1298" i="6"/>
  <c r="AE1298" i="6"/>
  <c r="M1298" i="6"/>
  <c r="AW1297" i="6"/>
  <c r="AN1297" i="6"/>
  <c r="AE1297" i="6"/>
  <c r="M1297" i="6"/>
  <c r="AW1296" i="6"/>
  <c r="AN1296" i="6"/>
  <c r="AE1296" i="6"/>
  <c r="M1296" i="6"/>
  <c r="AW1295" i="6"/>
  <c r="AN1295" i="6"/>
  <c r="AE1295" i="6"/>
  <c r="M1295" i="6"/>
  <c r="AW1294" i="6"/>
  <c r="AN1294" i="6"/>
  <c r="AE1294" i="6"/>
  <c r="M1294" i="6"/>
  <c r="AW1293" i="6"/>
  <c r="AN1293" i="6"/>
  <c r="AE1293" i="6"/>
  <c r="M1293" i="6"/>
  <c r="AW1292" i="6"/>
  <c r="AN1292" i="6"/>
  <c r="AE1292" i="6"/>
  <c r="M1292" i="6"/>
  <c r="AW1291" i="6"/>
  <c r="AN1291" i="6"/>
  <c r="AE1291" i="6"/>
  <c r="M1291" i="6"/>
  <c r="AW1290" i="6"/>
  <c r="AN1290" i="6"/>
  <c r="AE1290" i="6"/>
  <c r="M1290" i="6"/>
  <c r="AW1289" i="6"/>
  <c r="AN1289" i="6"/>
  <c r="AE1289" i="6"/>
  <c r="M1289" i="6"/>
  <c r="AW1288" i="6"/>
  <c r="AN1288" i="6"/>
  <c r="AE1288" i="6"/>
  <c r="M1288" i="6"/>
  <c r="AW1287" i="6"/>
  <c r="AN1287" i="6"/>
  <c r="AE1287" i="6"/>
  <c r="M1287" i="6"/>
  <c r="AW1286" i="6"/>
  <c r="AN1286" i="6"/>
  <c r="AE1286" i="6"/>
  <c r="M1286" i="6"/>
  <c r="AW1285" i="6"/>
  <c r="AN1285" i="6"/>
  <c r="AE1285" i="6"/>
  <c r="M1285" i="6"/>
  <c r="AW1284" i="6"/>
  <c r="AN1284" i="6"/>
  <c r="AE1284" i="6"/>
  <c r="M1284" i="6"/>
  <c r="AW1283" i="6"/>
  <c r="AN1283" i="6"/>
  <c r="AE1283" i="6"/>
  <c r="M1283" i="6"/>
  <c r="AW1282" i="6"/>
  <c r="AN1282" i="6"/>
  <c r="AE1282" i="6"/>
  <c r="M1282" i="6"/>
  <c r="AW1281" i="6"/>
  <c r="AN1281" i="6"/>
  <c r="AE1281" i="6"/>
  <c r="M1281" i="6"/>
  <c r="AW1280" i="6"/>
  <c r="AN1280" i="6"/>
  <c r="AE1280" i="6"/>
  <c r="M1280" i="6"/>
  <c r="AW1279" i="6"/>
  <c r="AN1279" i="6"/>
  <c r="AE1279" i="6"/>
  <c r="M1279" i="6"/>
  <c r="AW1278" i="6"/>
  <c r="AN1278" i="6"/>
  <c r="AE1278" i="6"/>
  <c r="M1278" i="6"/>
  <c r="AW1277" i="6"/>
  <c r="AN1277" i="6"/>
  <c r="AE1277" i="6"/>
  <c r="M1277" i="6"/>
  <c r="AW1276" i="6"/>
  <c r="AN1276" i="6"/>
  <c r="AE1276" i="6"/>
  <c r="M1276" i="6"/>
  <c r="AW1275" i="6"/>
  <c r="AN1275" i="6"/>
  <c r="AE1275" i="6"/>
  <c r="M1275" i="6"/>
  <c r="AW1274" i="6"/>
  <c r="AN1274" i="6"/>
  <c r="AE1274" i="6"/>
  <c r="M1274" i="6"/>
  <c r="AW1273" i="6"/>
  <c r="AN1273" i="6"/>
  <c r="AE1273" i="6"/>
  <c r="M1273" i="6"/>
  <c r="AW1272" i="6"/>
  <c r="AN1272" i="6"/>
  <c r="AE1272" i="6"/>
  <c r="M1272" i="6"/>
  <c r="AW1271" i="6"/>
  <c r="AN1271" i="6"/>
  <c r="AE1271" i="6"/>
  <c r="M1271" i="6"/>
  <c r="AW1270" i="6"/>
  <c r="AN1270" i="6"/>
  <c r="AE1270" i="6"/>
  <c r="M1270" i="6"/>
  <c r="AW1269" i="6"/>
  <c r="AN1269" i="6"/>
  <c r="AE1269" i="6"/>
  <c r="M1269" i="6"/>
  <c r="AW1268" i="6"/>
  <c r="AN1268" i="6"/>
  <c r="AE1268" i="6"/>
  <c r="M1268" i="6"/>
  <c r="AW1267" i="6"/>
  <c r="AN1267" i="6"/>
  <c r="AE1267" i="6"/>
  <c r="M1267" i="6"/>
  <c r="AW1266" i="6"/>
  <c r="AN1266" i="6"/>
  <c r="AE1266" i="6"/>
  <c r="M1266" i="6"/>
  <c r="AW1265" i="6"/>
  <c r="AN1265" i="6"/>
  <c r="AE1265" i="6"/>
  <c r="M1265" i="6"/>
  <c r="AW1264" i="6"/>
  <c r="AN1264" i="6"/>
  <c r="AE1264" i="6"/>
  <c r="M1264" i="6"/>
  <c r="AW1263" i="6"/>
  <c r="AN1263" i="6"/>
  <c r="AE1263" i="6"/>
  <c r="M1263" i="6"/>
  <c r="AW1262" i="6"/>
  <c r="AN1262" i="6"/>
  <c r="AE1262" i="6"/>
  <c r="M1262" i="6"/>
  <c r="AW1261" i="6"/>
  <c r="AN1261" i="6"/>
  <c r="AE1261" i="6"/>
  <c r="M1261" i="6"/>
  <c r="AW1260" i="6"/>
  <c r="AN1260" i="6"/>
  <c r="AE1260" i="6"/>
  <c r="M1260" i="6"/>
  <c r="AW1259" i="6"/>
  <c r="AN1259" i="6"/>
  <c r="AE1259" i="6"/>
  <c r="M1259" i="6"/>
  <c r="AW1258" i="6"/>
  <c r="AN1258" i="6"/>
  <c r="AE1258" i="6"/>
  <c r="M1258" i="6"/>
  <c r="AW1257" i="6"/>
  <c r="AN1257" i="6"/>
  <c r="AE1257" i="6"/>
  <c r="M1257" i="6"/>
  <c r="AW1256" i="6"/>
  <c r="AN1256" i="6"/>
  <c r="AE1256" i="6"/>
  <c r="M1256" i="6"/>
  <c r="AW1255" i="6"/>
  <c r="AN1255" i="6"/>
  <c r="AE1255" i="6"/>
  <c r="M1255" i="6"/>
  <c r="AW1254" i="6"/>
  <c r="AN1254" i="6"/>
  <c r="AE1254" i="6"/>
  <c r="M1254" i="6"/>
  <c r="AW1253" i="6"/>
  <c r="AN1253" i="6"/>
  <c r="AE1253" i="6"/>
  <c r="M1253" i="6"/>
  <c r="AW1252" i="6"/>
  <c r="AN1252" i="6"/>
  <c r="AE1252" i="6"/>
  <c r="M1252" i="6"/>
  <c r="AW1251" i="6"/>
  <c r="AN1251" i="6"/>
  <c r="AE1251" i="6"/>
  <c r="M1251" i="6"/>
  <c r="AW1250" i="6"/>
  <c r="AN1250" i="6"/>
  <c r="AE1250" i="6"/>
  <c r="M1250" i="6"/>
  <c r="AW1249" i="6"/>
  <c r="AN1249" i="6"/>
  <c r="AE1249" i="6"/>
  <c r="M1249" i="6"/>
  <c r="AW1248" i="6"/>
  <c r="AN1248" i="6"/>
  <c r="AE1248" i="6"/>
  <c r="M1248" i="6"/>
  <c r="AW1247" i="6"/>
  <c r="AN1247" i="6"/>
  <c r="AE1247" i="6"/>
  <c r="M1247" i="6"/>
  <c r="AW1246" i="6"/>
  <c r="AN1246" i="6"/>
  <c r="AE1246" i="6"/>
  <c r="M1246" i="6"/>
  <c r="AW1245" i="6"/>
  <c r="AN1245" i="6"/>
  <c r="AE1245" i="6"/>
  <c r="M1245" i="6"/>
  <c r="AW1244" i="6"/>
  <c r="AN1244" i="6"/>
  <c r="AE1244" i="6"/>
  <c r="M1244" i="6"/>
  <c r="AW1243" i="6"/>
  <c r="AN1243" i="6"/>
  <c r="AE1243" i="6"/>
  <c r="M1243" i="6"/>
  <c r="AW1242" i="6"/>
  <c r="AN1242" i="6"/>
  <c r="AE1242" i="6"/>
  <c r="M1242" i="6"/>
  <c r="AW1241" i="6"/>
  <c r="AN1241" i="6"/>
  <c r="AE1241" i="6"/>
  <c r="M1241" i="6"/>
  <c r="AW1240" i="6"/>
  <c r="AN1240" i="6"/>
  <c r="AE1240" i="6"/>
  <c r="M1240" i="6"/>
  <c r="AW1239" i="6"/>
  <c r="AN1239" i="6"/>
  <c r="AE1239" i="6"/>
  <c r="M1239" i="6"/>
  <c r="AW1238" i="6"/>
  <c r="AN1238" i="6"/>
  <c r="AE1238" i="6"/>
  <c r="M1238" i="6"/>
  <c r="AW1237" i="6"/>
  <c r="AN1237" i="6"/>
  <c r="AE1237" i="6"/>
  <c r="M1237" i="6"/>
  <c r="AW1236" i="6"/>
  <c r="AN1236" i="6"/>
  <c r="AE1236" i="6"/>
  <c r="M1236" i="6"/>
  <c r="AW1235" i="6"/>
  <c r="AN1235" i="6"/>
  <c r="AE1235" i="6"/>
  <c r="M1235" i="6"/>
  <c r="AW1234" i="6"/>
  <c r="AN1234" i="6"/>
  <c r="AE1234" i="6"/>
  <c r="M1234" i="6"/>
  <c r="AW1233" i="6"/>
  <c r="AN1233" i="6"/>
  <c r="AE1233" i="6"/>
  <c r="M1233" i="6"/>
  <c r="AW1232" i="6"/>
  <c r="AN1232" i="6"/>
  <c r="AE1232" i="6"/>
  <c r="M1232" i="6"/>
  <c r="AW1231" i="6"/>
  <c r="AN1231" i="6"/>
  <c r="AE1231" i="6"/>
  <c r="M1231" i="6"/>
  <c r="AW1230" i="6"/>
  <c r="AN1230" i="6"/>
  <c r="AE1230" i="6"/>
  <c r="M1230" i="6"/>
  <c r="AW1229" i="6"/>
  <c r="AN1229" i="6"/>
  <c r="AE1229" i="6"/>
  <c r="M1229" i="6"/>
  <c r="AW1228" i="6"/>
  <c r="AN1228" i="6"/>
  <c r="AE1228" i="6"/>
  <c r="M1228" i="6"/>
  <c r="AW1227" i="6"/>
  <c r="AN1227" i="6"/>
  <c r="AE1227" i="6"/>
  <c r="M1227" i="6"/>
  <c r="AW1226" i="6"/>
  <c r="AN1226" i="6"/>
  <c r="AE1226" i="6"/>
  <c r="M1226" i="6"/>
  <c r="AW1225" i="6"/>
  <c r="AN1225" i="6"/>
  <c r="AE1225" i="6"/>
  <c r="M1225" i="6"/>
  <c r="AW1224" i="6"/>
  <c r="AN1224" i="6"/>
  <c r="AE1224" i="6"/>
  <c r="M1224" i="6"/>
  <c r="AW1223" i="6"/>
  <c r="AN1223" i="6"/>
  <c r="AE1223" i="6"/>
  <c r="M1223" i="6"/>
  <c r="AW1222" i="6"/>
  <c r="AN1222" i="6"/>
  <c r="AE1222" i="6"/>
  <c r="M1222" i="6"/>
  <c r="AW1221" i="6"/>
  <c r="AN1221" i="6"/>
  <c r="AE1221" i="6"/>
  <c r="M1221" i="6"/>
  <c r="AW1220" i="6"/>
  <c r="AN1220" i="6"/>
  <c r="AE1220" i="6"/>
  <c r="M1220" i="6"/>
  <c r="AW1219" i="6"/>
  <c r="AN1219" i="6"/>
  <c r="AE1219" i="6"/>
  <c r="M1219" i="6"/>
  <c r="AW1218" i="6"/>
  <c r="AN1218" i="6"/>
  <c r="AE1218" i="6"/>
  <c r="M1218" i="6"/>
  <c r="AW1217" i="6"/>
  <c r="AN1217" i="6"/>
  <c r="AE1217" i="6"/>
  <c r="M1217" i="6"/>
  <c r="AW1216" i="6"/>
  <c r="AN1216" i="6"/>
  <c r="AE1216" i="6"/>
  <c r="M1216" i="6"/>
  <c r="AW1215" i="6"/>
  <c r="AN1215" i="6"/>
  <c r="AE1215" i="6"/>
  <c r="M1215" i="6"/>
  <c r="AW1214" i="6"/>
  <c r="AN1214" i="6"/>
  <c r="AE1214" i="6"/>
  <c r="M1214" i="6"/>
  <c r="AW1213" i="6"/>
  <c r="AN1213" i="6"/>
  <c r="AE1213" i="6"/>
  <c r="M1213" i="6"/>
  <c r="AW1212" i="6"/>
  <c r="AN1212" i="6"/>
  <c r="AE1212" i="6"/>
  <c r="M1212" i="6"/>
  <c r="AW1211" i="6"/>
  <c r="AN1211" i="6"/>
  <c r="AE1211" i="6"/>
  <c r="M1211" i="6"/>
  <c r="AW1210" i="6"/>
  <c r="AN1210" i="6"/>
  <c r="AE1210" i="6"/>
  <c r="M1210" i="6"/>
  <c r="AW1209" i="6"/>
  <c r="AN1209" i="6"/>
  <c r="AE1209" i="6"/>
  <c r="M1209" i="6"/>
  <c r="AW1208" i="6"/>
  <c r="AN1208" i="6"/>
  <c r="AE1208" i="6"/>
  <c r="M1208" i="6"/>
  <c r="AW1207" i="6"/>
  <c r="AN1207" i="6"/>
  <c r="AE1207" i="6"/>
  <c r="M1207" i="6"/>
  <c r="AW1206" i="6"/>
  <c r="AN1206" i="6"/>
  <c r="AE1206" i="6"/>
  <c r="M1206" i="6"/>
  <c r="AW1205" i="6"/>
  <c r="AN1205" i="6"/>
  <c r="AE1205" i="6"/>
  <c r="M1205" i="6"/>
  <c r="AW1204" i="6"/>
  <c r="AN1204" i="6"/>
  <c r="AE1204" i="6"/>
  <c r="M1204" i="6"/>
  <c r="AW1203" i="6"/>
  <c r="AN1203" i="6"/>
  <c r="AE1203" i="6"/>
  <c r="M1203" i="6"/>
  <c r="AW1202" i="6"/>
  <c r="AN1202" i="6"/>
  <c r="AE1202" i="6"/>
  <c r="M1202" i="6"/>
  <c r="AW1201" i="6"/>
  <c r="AN1201" i="6"/>
  <c r="AE1201" i="6"/>
  <c r="M1201" i="6"/>
  <c r="AW1200" i="6"/>
  <c r="AN1200" i="6"/>
  <c r="AE1200" i="6"/>
  <c r="M1200" i="6"/>
  <c r="AW1199" i="6"/>
  <c r="AN1199" i="6"/>
  <c r="AE1199" i="6"/>
  <c r="M1199" i="6"/>
  <c r="AW1198" i="6"/>
  <c r="AN1198" i="6"/>
  <c r="AE1198" i="6"/>
  <c r="M1198" i="6"/>
  <c r="AW1197" i="6"/>
  <c r="AN1197" i="6"/>
  <c r="AE1197" i="6"/>
  <c r="M1197" i="6"/>
  <c r="AW1196" i="6"/>
  <c r="AN1196" i="6"/>
  <c r="AE1196" i="6"/>
  <c r="M1196" i="6"/>
  <c r="AW1195" i="6"/>
  <c r="AN1195" i="6"/>
  <c r="AE1195" i="6"/>
  <c r="M1195" i="6"/>
  <c r="AW1194" i="6"/>
  <c r="AN1194" i="6"/>
  <c r="AE1194" i="6"/>
  <c r="M1194" i="6"/>
  <c r="AW1193" i="6"/>
  <c r="AN1193" i="6"/>
  <c r="AE1193" i="6"/>
  <c r="M1193" i="6"/>
  <c r="AW1192" i="6"/>
  <c r="AN1192" i="6"/>
  <c r="AE1192" i="6"/>
  <c r="M1192" i="6"/>
  <c r="AW1191" i="6"/>
  <c r="AN1191" i="6"/>
  <c r="AE1191" i="6"/>
  <c r="M1191" i="6"/>
  <c r="AW1190" i="6"/>
  <c r="AN1190" i="6"/>
  <c r="AE1190" i="6"/>
  <c r="M1190" i="6"/>
  <c r="AW1189" i="6"/>
  <c r="AN1189" i="6"/>
  <c r="AE1189" i="6"/>
  <c r="M1189" i="6"/>
  <c r="AW1188" i="6"/>
  <c r="AN1188" i="6"/>
  <c r="AE1188" i="6"/>
  <c r="M1188" i="6"/>
  <c r="AW1187" i="6"/>
  <c r="AN1187" i="6"/>
  <c r="AE1187" i="6"/>
  <c r="M1187" i="6"/>
  <c r="AW1186" i="6"/>
  <c r="AN1186" i="6"/>
  <c r="AE1186" i="6"/>
  <c r="M1186" i="6"/>
  <c r="AW1185" i="6"/>
  <c r="AN1185" i="6"/>
  <c r="AE1185" i="6"/>
  <c r="M1185" i="6"/>
  <c r="AW1184" i="6"/>
  <c r="AN1184" i="6"/>
  <c r="AE1184" i="6"/>
  <c r="M1184" i="6"/>
  <c r="AW1183" i="6"/>
  <c r="AN1183" i="6"/>
  <c r="AE1183" i="6"/>
  <c r="M1183" i="6"/>
  <c r="AW1182" i="6"/>
  <c r="AN1182" i="6"/>
  <c r="AE1182" i="6"/>
  <c r="M1182" i="6"/>
  <c r="AW1181" i="6"/>
  <c r="AN1181" i="6"/>
  <c r="AE1181" i="6"/>
  <c r="M1181" i="6"/>
  <c r="AW1180" i="6"/>
  <c r="AN1180" i="6"/>
  <c r="AE1180" i="6"/>
  <c r="M1180" i="6"/>
  <c r="AW1179" i="6"/>
  <c r="AN1179" i="6"/>
  <c r="AE1179" i="6"/>
  <c r="M1179" i="6"/>
  <c r="AW1178" i="6"/>
  <c r="AN1178" i="6"/>
  <c r="AE1178" i="6"/>
  <c r="M1178" i="6"/>
  <c r="AW1177" i="6"/>
  <c r="AN1177" i="6"/>
  <c r="AE1177" i="6"/>
  <c r="M1177" i="6"/>
  <c r="AW1176" i="6"/>
  <c r="AN1176" i="6"/>
  <c r="AE1176" i="6"/>
  <c r="M1176" i="6"/>
  <c r="AW1175" i="6"/>
  <c r="AN1175" i="6"/>
  <c r="AE1175" i="6"/>
  <c r="M1175" i="6"/>
  <c r="AW1174" i="6"/>
  <c r="AN1174" i="6"/>
  <c r="AE1174" i="6"/>
  <c r="M1174" i="6"/>
  <c r="AW1173" i="6"/>
  <c r="AN1173" i="6"/>
  <c r="AE1173" i="6"/>
  <c r="M1173" i="6"/>
  <c r="AW1172" i="6"/>
  <c r="AN1172" i="6"/>
  <c r="AE1172" i="6"/>
  <c r="M1172" i="6"/>
  <c r="AW1171" i="6"/>
  <c r="AN1171" i="6"/>
  <c r="AE1171" i="6"/>
  <c r="M1171" i="6"/>
  <c r="AW1170" i="6"/>
  <c r="AN1170" i="6"/>
  <c r="AE1170" i="6"/>
  <c r="M1170" i="6"/>
  <c r="AW1169" i="6"/>
  <c r="AN1169" i="6"/>
  <c r="AE1169" i="6"/>
  <c r="M1169" i="6"/>
  <c r="AW1168" i="6"/>
  <c r="AN1168" i="6"/>
  <c r="AE1168" i="6"/>
  <c r="M1168" i="6"/>
  <c r="AW1167" i="6"/>
  <c r="AN1167" i="6"/>
  <c r="AE1167" i="6"/>
  <c r="M1167" i="6"/>
  <c r="AW1166" i="6"/>
  <c r="AN1166" i="6"/>
  <c r="AE1166" i="6"/>
  <c r="M1166" i="6"/>
  <c r="AW1165" i="6"/>
  <c r="AN1165" i="6"/>
  <c r="AE1165" i="6"/>
  <c r="M1165" i="6"/>
  <c r="AW1164" i="6"/>
  <c r="AN1164" i="6"/>
  <c r="AE1164" i="6"/>
  <c r="M1164" i="6"/>
  <c r="AW1163" i="6"/>
  <c r="AN1163" i="6"/>
  <c r="AE1163" i="6"/>
  <c r="M1163" i="6"/>
  <c r="AW1162" i="6"/>
  <c r="AN1162" i="6"/>
  <c r="AE1162" i="6"/>
  <c r="M1162" i="6"/>
  <c r="AW1161" i="6"/>
  <c r="AN1161" i="6"/>
  <c r="AE1161" i="6"/>
  <c r="M1161" i="6"/>
  <c r="AW1160" i="6"/>
  <c r="AN1160" i="6"/>
  <c r="AE1160" i="6"/>
  <c r="M1160" i="6"/>
  <c r="AW1159" i="6"/>
  <c r="AN1159" i="6"/>
  <c r="AE1159" i="6"/>
  <c r="M1159" i="6"/>
  <c r="AW1158" i="6"/>
  <c r="AN1158" i="6"/>
  <c r="AE1158" i="6"/>
  <c r="M1158" i="6"/>
  <c r="AW1157" i="6"/>
  <c r="AN1157" i="6"/>
  <c r="AE1157" i="6"/>
  <c r="M1157" i="6"/>
  <c r="AW1156" i="6"/>
  <c r="AN1156" i="6"/>
  <c r="AE1156" i="6"/>
  <c r="M1156" i="6"/>
  <c r="AW1155" i="6"/>
  <c r="AN1155" i="6"/>
  <c r="AE1155" i="6"/>
  <c r="M1155" i="6"/>
  <c r="AW1154" i="6"/>
  <c r="AN1154" i="6"/>
  <c r="AE1154" i="6"/>
  <c r="M1154" i="6"/>
  <c r="AW1153" i="6"/>
  <c r="AN1153" i="6"/>
  <c r="AE1153" i="6"/>
  <c r="M1153" i="6"/>
  <c r="AW1152" i="6"/>
  <c r="AN1152" i="6"/>
  <c r="AE1152" i="6"/>
  <c r="M1152" i="6"/>
  <c r="AW1151" i="6"/>
  <c r="AN1151" i="6"/>
  <c r="AE1151" i="6"/>
  <c r="M1151" i="6"/>
  <c r="AW1150" i="6"/>
  <c r="AN1150" i="6"/>
  <c r="AE1150" i="6"/>
  <c r="M1150" i="6"/>
  <c r="AW1149" i="6"/>
  <c r="AN1149" i="6"/>
  <c r="AE1149" i="6"/>
  <c r="M1149" i="6"/>
  <c r="AW1148" i="6"/>
  <c r="AN1148" i="6"/>
  <c r="AE1148" i="6"/>
  <c r="M1148" i="6"/>
  <c r="AW1147" i="6"/>
  <c r="AN1147" i="6"/>
  <c r="AE1147" i="6"/>
  <c r="M1147" i="6"/>
  <c r="AW1146" i="6"/>
  <c r="AN1146" i="6"/>
  <c r="AE1146" i="6"/>
  <c r="M1146" i="6"/>
  <c r="AW1145" i="6"/>
  <c r="AN1145" i="6"/>
  <c r="AE1145" i="6"/>
  <c r="M1145" i="6"/>
  <c r="AW1144" i="6"/>
  <c r="AN1144" i="6"/>
  <c r="AE1144" i="6"/>
  <c r="M1144" i="6"/>
  <c r="AW1143" i="6"/>
  <c r="AN1143" i="6"/>
  <c r="AE1143" i="6"/>
  <c r="M1143" i="6"/>
  <c r="AW1142" i="6"/>
  <c r="AN1142" i="6"/>
  <c r="AE1142" i="6"/>
  <c r="M1142" i="6"/>
  <c r="AW1141" i="6"/>
  <c r="AN1141" i="6"/>
  <c r="AE1141" i="6"/>
  <c r="M1141" i="6"/>
  <c r="AW1140" i="6"/>
  <c r="AN1140" i="6"/>
  <c r="AE1140" i="6"/>
  <c r="M1140" i="6"/>
  <c r="AW1139" i="6"/>
  <c r="AN1139" i="6"/>
  <c r="AE1139" i="6"/>
  <c r="M1139" i="6"/>
  <c r="AW1138" i="6"/>
  <c r="AN1138" i="6"/>
  <c r="AE1138" i="6"/>
  <c r="M1138" i="6"/>
  <c r="AW1137" i="6"/>
  <c r="AN1137" i="6"/>
  <c r="AE1137" i="6"/>
  <c r="M1137" i="6"/>
  <c r="AW1136" i="6"/>
  <c r="AN1136" i="6"/>
  <c r="AE1136" i="6"/>
  <c r="M1136" i="6"/>
  <c r="AW1135" i="6"/>
  <c r="AN1135" i="6"/>
  <c r="AE1135" i="6"/>
  <c r="M1135" i="6"/>
  <c r="AW1134" i="6"/>
  <c r="AN1134" i="6"/>
  <c r="AE1134" i="6"/>
  <c r="M1134" i="6"/>
  <c r="AW1133" i="6"/>
  <c r="AN1133" i="6"/>
  <c r="AE1133" i="6"/>
  <c r="M1133" i="6"/>
  <c r="AW1132" i="6"/>
  <c r="AN1132" i="6"/>
  <c r="AE1132" i="6"/>
  <c r="M1132" i="6"/>
  <c r="AW1131" i="6"/>
  <c r="AN1131" i="6"/>
  <c r="AE1131" i="6"/>
  <c r="M1131" i="6"/>
  <c r="AW1130" i="6"/>
  <c r="AN1130" i="6"/>
  <c r="AE1130" i="6"/>
  <c r="M1130" i="6"/>
  <c r="AW1129" i="6"/>
  <c r="AN1129" i="6"/>
  <c r="AE1129" i="6"/>
  <c r="M1129" i="6"/>
  <c r="AW1128" i="6"/>
  <c r="AN1128" i="6"/>
  <c r="AE1128" i="6"/>
  <c r="M1128" i="6"/>
  <c r="AW1127" i="6"/>
  <c r="AN1127" i="6"/>
  <c r="AE1127" i="6"/>
  <c r="M1127" i="6"/>
  <c r="AW1126" i="6"/>
  <c r="AN1126" i="6"/>
  <c r="AE1126" i="6"/>
  <c r="M1126" i="6"/>
  <c r="AW1125" i="6"/>
  <c r="AN1125" i="6"/>
  <c r="AE1125" i="6"/>
  <c r="M1125" i="6"/>
  <c r="AW1124" i="6"/>
  <c r="AN1124" i="6"/>
  <c r="AE1124" i="6"/>
  <c r="M1124" i="6"/>
  <c r="AW1123" i="6"/>
  <c r="AN1123" i="6"/>
  <c r="AE1123" i="6"/>
  <c r="M1123" i="6"/>
  <c r="AW1122" i="6"/>
  <c r="AN1122" i="6"/>
  <c r="AE1122" i="6"/>
  <c r="M1122" i="6"/>
  <c r="AW1121" i="6"/>
  <c r="AN1121" i="6"/>
  <c r="AE1121" i="6"/>
  <c r="M1121" i="6"/>
  <c r="AW1120" i="6"/>
  <c r="AN1120" i="6"/>
  <c r="AE1120" i="6"/>
  <c r="M1120" i="6"/>
  <c r="AW1119" i="6"/>
  <c r="AN1119" i="6"/>
  <c r="AE1119" i="6"/>
  <c r="M1119" i="6"/>
  <c r="AW1118" i="6"/>
  <c r="AN1118" i="6"/>
  <c r="AE1118" i="6"/>
  <c r="M1118" i="6"/>
  <c r="AW1117" i="6"/>
  <c r="AN1117" i="6"/>
  <c r="AE1117" i="6"/>
  <c r="M1117" i="6"/>
  <c r="AW1116" i="6"/>
  <c r="AN1116" i="6"/>
  <c r="AE1116" i="6"/>
  <c r="M1116" i="6"/>
  <c r="AW1115" i="6"/>
  <c r="AN1115" i="6"/>
  <c r="AE1115" i="6"/>
  <c r="M1115" i="6"/>
  <c r="AW1114" i="6"/>
  <c r="AN1114" i="6"/>
  <c r="AE1114" i="6"/>
  <c r="M1114" i="6"/>
  <c r="AW1113" i="6"/>
  <c r="AN1113" i="6"/>
  <c r="AE1113" i="6"/>
  <c r="M1113" i="6"/>
  <c r="AW1112" i="6"/>
  <c r="AN1112" i="6"/>
  <c r="AE1112" i="6"/>
  <c r="M1112" i="6"/>
  <c r="AW1111" i="6"/>
  <c r="AN1111" i="6"/>
  <c r="AE1111" i="6"/>
  <c r="M1111" i="6"/>
  <c r="AW1110" i="6"/>
  <c r="AN1110" i="6"/>
  <c r="AE1110" i="6"/>
  <c r="M1110" i="6"/>
  <c r="AW1109" i="6"/>
  <c r="AN1109" i="6"/>
  <c r="AE1109" i="6"/>
  <c r="M1109" i="6"/>
  <c r="AW1108" i="6"/>
  <c r="AN1108" i="6"/>
  <c r="AE1108" i="6"/>
  <c r="M1108" i="6"/>
  <c r="AW1107" i="6"/>
  <c r="AN1107" i="6"/>
  <c r="AE1107" i="6"/>
  <c r="M1107" i="6"/>
  <c r="AW1106" i="6"/>
  <c r="AN1106" i="6"/>
  <c r="AE1106" i="6"/>
  <c r="M1106" i="6"/>
  <c r="AW1105" i="6"/>
  <c r="AN1105" i="6"/>
  <c r="AE1105" i="6"/>
  <c r="M1105" i="6"/>
  <c r="AW1104" i="6"/>
  <c r="AN1104" i="6"/>
  <c r="AE1104" i="6"/>
  <c r="M1104" i="6"/>
  <c r="AW1103" i="6"/>
  <c r="AN1103" i="6"/>
  <c r="AE1103" i="6"/>
  <c r="M1103" i="6"/>
  <c r="AW1102" i="6"/>
  <c r="AN1102" i="6"/>
  <c r="AE1102" i="6"/>
  <c r="M1102" i="6"/>
  <c r="AW1101" i="6"/>
  <c r="AN1101" i="6"/>
  <c r="AE1101" i="6"/>
  <c r="M1101" i="6"/>
  <c r="AW1100" i="6"/>
  <c r="AN1100" i="6"/>
  <c r="AE1100" i="6"/>
  <c r="M1100" i="6"/>
  <c r="AW1099" i="6"/>
  <c r="AN1099" i="6"/>
  <c r="AE1099" i="6"/>
  <c r="M1099" i="6"/>
  <c r="AW1098" i="6"/>
  <c r="AN1098" i="6"/>
  <c r="AE1098" i="6"/>
  <c r="M1098" i="6"/>
  <c r="AW1097" i="6"/>
  <c r="AN1097" i="6"/>
  <c r="AE1097" i="6"/>
  <c r="M1097" i="6"/>
  <c r="AW1096" i="6"/>
  <c r="AN1096" i="6"/>
  <c r="AE1096" i="6"/>
  <c r="M1096" i="6"/>
  <c r="AW1095" i="6"/>
  <c r="AN1095" i="6"/>
  <c r="AE1095" i="6"/>
  <c r="M1095" i="6"/>
  <c r="AW1094" i="6"/>
  <c r="AN1094" i="6"/>
  <c r="AE1094" i="6"/>
  <c r="M1094" i="6"/>
  <c r="AW1093" i="6"/>
  <c r="AN1093" i="6"/>
  <c r="AE1093" i="6"/>
  <c r="M1093" i="6"/>
  <c r="AW1092" i="6"/>
  <c r="AN1092" i="6"/>
  <c r="AE1092" i="6"/>
  <c r="M1092" i="6"/>
  <c r="AW1091" i="6"/>
  <c r="AN1091" i="6"/>
  <c r="AE1091" i="6"/>
  <c r="M1091" i="6"/>
  <c r="AW1090" i="6"/>
  <c r="AN1090" i="6"/>
  <c r="AE1090" i="6"/>
  <c r="M1090" i="6"/>
  <c r="AW1089" i="6"/>
  <c r="AN1089" i="6"/>
  <c r="AE1089" i="6"/>
  <c r="M1089" i="6"/>
  <c r="AW1088" i="6"/>
  <c r="AN1088" i="6"/>
  <c r="AE1088" i="6"/>
  <c r="M1088" i="6"/>
  <c r="AW1087" i="6"/>
  <c r="AN1087" i="6"/>
  <c r="AE1087" i="6"/>
  <c r="M1087" i="6"/>
  <c r="AW1086" i="6"/>
  <c r="AN1086" i="6"/>
  <c r="AE1086" i="6"/>
  <c r="M1086" i="6"/>
  <c r="AW1085" i="6"/>
  <c r="AN1085" i="6"/>
  <c r="AE1085" i="6"/>
  <c r="M1085" i="6"/>
  <c r="AW1084" i="6"/>
  <c r="AN1084" i="6"/>
  <c r="AE1084" i="6"/>
  <c r="M1084" i="6"/>
  <c r="AW1083" i="6"/>
  <c r="AN1083" i="6"/>
  <c r="AE1083" i="6"/>
  <c r="M1083" i="6"/>
  <c r="AW1082" i="6"/>
  <c r="AN1082" i="6"/>
  <c r="AE1082" i="6"/>
  <c r="M1082" i="6"/>
  <c r="AW1081" i="6"/>
  <c r="AN1081" i="6"/>
  <c r="AE1081" i="6"/>
  <c r="M1081" i="6"/>
  <c r="AW1080" i="6"/>
  <c r="AN1080" i="6"/>
  <c r="AE1080" i="6"/>
  <c r="M1080" i="6"/>
  <c r="AW1079" i="6"/>
  <c r="AN1079" i="6"/>
  <c r="AE1079" i="6"/>
  <c r="M1079" i="6"/>
  <c r="AW1078" i="6"/>
  <c r="AN1078" i="6"/>
  <c r="AE1078" i="6"/>
  <c r="M1078" i="6"/>
  <c r="AW1077" i="6"/>
  <c r="AN1077" i="6"/>
  <c r="AE1077" i="6"/>
  <c r="M1077" i="6"/>
  <c r="AW1076" i="6"/>
  <c r="AN1076" i="6"/>
  <c r="AE1076" i="6"/>
  <c r="M1076" i="6"/>
  <c r="AW1075" i="6"/>
  <c r="AN1075" i="6"/>
  <c r="AE1075" i="6"/>
  <c r="M1075" i="6"/>
  <c r="AW1074" i="6"/>
  <c r="AN1074" i="6"/>
  <c r="AE1074" i="6"/>
  <c r="M1074" i="6"/>
  <c r="AW1073" i="6"/>
  <c r="AN1073" i="6"/>
  <c r="AE1073" i="6"/>
  <c r="M1073" i="6"/>
  <c r="AW1072" i="6"/>
  <c r="AN1072" i="6"/>
  <c r="AE1072" i="6"/>
  <c r="M1072" i="6"/>
  <c r="AW1071" i="6"/>
  <c r="AN1071" i="6"/>
  <c r="AE1071" i="6"/>
  <c r="M1071" i="6"/>
  <c r="AW1070" i="6"/>
  <c r="AN1070" i="6"/>
  <c r="AE1070" i="6"/>
  <c r="M1070" i="6"/>
  <c r="AW1069" i="6"/>
  <c r="AN1069" i="6"/>
  <c r="AE1069" i="6"/>
  <c r="M1069" i="6"/>
  <c r="AW1068" i="6"/>
  <c r="AN1068" i="6"/>
  <c r="AE1068" i="6"/>
  <c r="M1068" i="6"/>
  <c r="AW1067" i="6"/>
  <c r="AN1067" i="6"/>
  <c r="AE1067" i="6"/>
  <c r="M1067" i="6"/>
  <c r="AW1066" i="6"/>
  <c r="AN1066" i="6"/>
  <c r="AE1066" i="6"/>
  <c r="M1066" i="6"/>
  <c r="AW1065" i="6"/>
  <c r="AN1065" i="6"/>
  <c r="AE1065" i="6"/>
  <c r="M1065" i="6"/>
  <c r="AW1064" i="6"/>
  <c r="AN1064" i="6"/>
  <c r="AE1064" i="6"/>
  <c r="M1064" i="6"/>
  <c r="AW1063" i="6"/>
  <c r="AN1063" i="6"/>
  <c r="AE1063" i="6"/>
  <c r="M1063" i="6"/>
  <c r="AW1062" i="6"/>
  <c r="AN1062" i="6"/>
  <c r="AE1062" i="6"/>
  <c r="M1062" i="6"/>
  <c r="AW1061" i="6"/>
  <c r="AN1061" i="6"/>
  <c r="AE1061" i="6"/>
  <c r="M1061" i="6"/>
  <c r="AW1060" i="6"/>
  <c r="AN1060" i="6"/>
  <c r="AE1060" i="6"/>
  <c r="M1060" i="6"/>
  <c r="AW1059" i="6"/>
  <c r="AN1059" i="6"/>
  <c r="AE1059" i="6"/>
  <c r="M1059" i="6"/>
  <c r="AW1058" i="6"/>
  <c r="AN1058" i="6"/>
  <c r="AE1058" i="6"/>
  <c r="M1058" i="6"/>
  <c r="AW1057" i="6"/>
  <c r="AN1057" i="6"/>
  <c r="AE1057" i="6"/>
  <c r="M1057" i="6"/>
  <c r="AW1056" i="6"/>
  <c r="AN1056" i="6"/>
  <c r="AE1056" i="6"/>
  <c r="M1056" i="6"/>
  <c r="AW1055" i="6"/>
  <c r="AN1055" i="6"/>
  <c r="AE1055" i="6"/>
  <c r="M1055" i="6"/>
  <c r="AW1054" i="6"/>
  <c r="AN1054" i="6"/>
  <c r="AE1054" i="6"/>
  <c r="M1054" i="6"/>
  <c r="AW1053" i="6"/>
  <c r="AN1053" i="6"/>
  <c r="AE1053" i="6"/>
  <c r="M1053" i="6"/>
  <c r="AW1052" i="6"/>
  <c r="AN1052" i="6"/>
  <c r="AE1052" i="6"/>
  <c r="M1052" i="6"/>
  <c r="AW1051" i="6"/>
  <c r="AN1051" i="6"/>
  <c r="AE1051" i="6"/>
  <c r="M1051" i="6"/>
  <c r="AW1050" i="6"/>
  <c r="AN1050" i="6"/>
  <c r="AE1050" i="6"/>
  <c r="M1050" i="6"/>
  <c r="AW1049" i="6"/>
  <c r="AN1049" i="6"/>
  <c r="AE1049" i="6"/>
  <c r="M1049" i="6"/>
  <c r="AW1048" i="6"/>
  <c r="AN1048" i="6"/>
  <c r="AE1048" i="6"/>
  <c r="M1048" i="6"/>
  <c r="AW1047" i="6"/>
  <c r="AN1047" i="6"/>
  <c r="AE1047" i="6"/>
  <c r="M1047" i="6"/>
  <c r="AW1046" i="6"/>
  <c r="AN1046" i="6"/>
  <c r="AE1046" i="6"/>
  <c r="M1046" i="6"/>
  <c r="AW1045" i="6"/>
  <c r="AN1045" i="6"/>
  <c r="AE1045" i="6"/>
  <c r="M1045" i="6"/>
  <c r="AW1044" i="6"/>
  <c r="AN1044" i="6"/>
  <c r="AE1044" i="6"/>
  <c r="M1044" i="6"/>
  <c r="AW1043" i="6"/>
  <c r="AN1043" i="6"/>
  <c r="AE1043" i="6"/>
  <c r="M1043" i="6"/>
  <c r="AW1042" i="6"/>
  <c r="AN1042" i="6"/>
  <c r="AE1042" i="6"/>
  <c r="M1042" i="6"/>
  <c r="AW1041" i="6"/>
  <c r="AN1041" i="6"/>
  <c r="AE1041" i="6"/>
  <c r="M1041" i="6"/>
  <c r="AW1040" i="6"/>
  <c r="AN1040" i="6"/>
  <c r="AE1040" i="6"/>
  <c r="M1040" i="6"/>
  <c r="AW1039" i="6"/>
  <c r="AN1039" i="6"/>
  <c r="AE1039" i="6"/>
  <c r="M1039" i="6"/>
  <c r="AW1038" i="6"/>
  <c r="AN1038" i="6"/>
  <c r="AE1038" i="6"/>
  <c r="M1038" i="6"/>
  <c r="AW1037" i="6"/>
  <c r="AN1037" i="6"/>
  <c r="AE1037" i="6"/>
  <c r="M1037" i="6"/>
  <c r="AW1036" i="6"/>
  <c r="AN1036" i="6"/>
  <c r="AE1036" i="6"/>
  <c r="M1036" i="6"/>
  <c r="AW1035" i="6"/>
  <c r="AN1035" i="6"/>
  <c r="AE1035" i="6"/>
  <c r="M1035" i="6"/>
  <c r="AW1034" i="6"/>
  <c r="AN1034" i="6"/>
  <c r="AE1034" i="6"/>
  <c r="M1034" i="6"/>
  <c r="AW1033" i="6"/>
  <c r="AN1033" i="6"/>
  <c r="AE1033" i="6"/>
  <c r="M1033" i="6"/>
  <c r="AW1032" i="6"/>
  <c r="AN1032" i="6"/>
  <c r="AE1032" i="6"/>
  <c r="M1032" i="6"/>
  <c r="AW1031" i="6"/>
  <c r="AN1031" i="6"/>
  <c r="AE1031" i="6"/>
  <c r="M1031" i="6"/>
  <c r="AW1030" i="6"/>
  <c r="AN1030" i="6"/>
  <c r="AE1030" i="6"/>
  <c r="M1030" i="6"/>
  <c r="AW1029" i="6"/>
  <c r="AN1029" i="6"/>
  <c r="AE1029" i="6"/>
  <c r="M1029" i="6"/>
  <c r="AW1028" i="6"/>
  <c r="AN1028" i="6"/>
  <c r="AE1028" i="6"/>
  <c r="M1028" i="6"/>
  <c r="AW1027" i="6"/>
  <c r="AN1027" i="6"/>
  <c r="AE1027" i="6"/>
  <c r="M1027" i="6"/>
  <c r="AW1026" i="6"/>
  <c r="AN1026" i="6"/>
  <c r="AE1026" i="6"/>
  <c r="M1026" i="6"/>
  <c r="AW1025" i="6"/>
  <c r="AN1025" i="6"/>
  <c r="AE1025" i="6"/>
  <c r="M1025" i="6"/>
  <c r="AW1024" i="6"/>
  <c r="AN1024" i="6"/>
  <c r="AE1024" i="6"/>
  <c r="M1024" i="6"/>
  <c r="AW1023" i="6"/>
  <c r="AN1023" i="6"/>
  <c r="AE1023" i="6"/>
  <c r="M1023" i="6"/>
  <c r="AW1022" i="6"/>
  <c r="AN1022" i="6"/>
  <c r="AE1022" i="6"/>
  <c r="M1022" i="6"/>
  <c r="AW1021" i="6"/>
  <c r="AN1021" i="6"/>
  <c r="AE1021" i="6"/>
  <c r="M1021" i="6"/>
  <c r="AW1020" i="6"/>
  <c r="AN1020" i="6"/>
  <c r="AE1020" i="6"/>
  <c r="M1020" i="6"/>
  <c r="AW1019" i="6"/>
  <c r="AN1019" i="6"/>
  <c r="AE1019" i="6"/>
  <c r="M1019" i="6"/>
  <c r="AW1018" i="6"/>
  <c r="AN1018" i="6"/>
  <c r="AE1018" i="6"/>
  <c r="M1018" i="6"/>
  <c r="AW1017" i="6"/>
  <c r="AN1017" i="6"/>
  <c r="AE1017" i="6"/>
  <c r="M1017" i="6"/>
  <c r="AW1016" i="6"/>
  <c r="AN1016" i="6"/>
  <c r="AE1016" i="6"/>
  <c r="M1016" i="6"/>
  <c r="AW1015" i="6"/>
  <c r="AN1015" i="6"/>
  <c r="AE1015" i="6"/>
  <c r="M1015" i="6"/>
  <c r="AW1014" i="6"/>
  <c r="AN1014" i="6"/>
  <c r="AE1014" i="6"/>
  <c r="M1014" i="6"/>
  <c r="AW1013" i="6"/>
  <c r="AN1013" i="6"/>
  <c r="AE1013" i="6"/>
  <c r="M1013" i="6"/>
  <c r="AW1012" i="6"/>
  <c r="AN1012" i="6"/>
  <c r="AE1012" i="6"/>
  <c r="M1012" i="6"/>
  <c r="AW1011" i="6"/>
  <c r="AN1011" i="6"/>
  <c r="AE1011" i="6"/>
  <c r="M1011" i="6"/>
  <c r="AW1010" i="6"/>
  <c r="AN1010" i="6"/>
  <c r="AE1010" i="6"/>
  <c r="M1010" i="6"/>
  <c r="AW1009" i="6"/>
  <c r="AN1009" i="6"/>
  <c r="AE1009" i="6"/>
  <c r="M1009" i="6"/>
  <c r="AW1008" i="6"/>
  <c r="AN1008" i="6"/>
  <c r="AE1008" i="6"/>
  <c r="M1008" i="6"/>
  <c r="AW1007" i="6"/>
  <c r="AN1007" i="6"/>
  <c r="AE1007" i="6"/>
  <c r="M1007" i="6"/>
  <c r="AW1006" i="6"/>
  <c r="AN1006" i="6"/>
  <c r="AE1006" i="6"/>
  <c r="M1006" i="6"/>
  <c r="AW1005" i="6"/>
  <c r="AN1005" i="6"/>
  <c r="AE1005" i="6"/>
  <c r="M1005" i="6"/>
  <c r="AW1004" i="6"/>
  <c r="AN1004" i="6"/>
  <c r="AE1004" i="6"/>
  <c r="M1004" i="6"/>
  <c r="AW1003" i="6"/>
  <c r="AN1003" i="6"/>
  <c r="AE1003" i="6"/>
  <c r="M1003" i="6"/>
  <c r="AW1002" i="6"/>
  <c r="AN1002" i="6"/>
  <c r="AE1002" i="6"/>
  <c r="M1002" i="6"/>
  <c r="AW1001" i="6"/>
  <c r="AN1001" i="6"/>
  <c r="AE1001" i="6"/>
  <c r="M1001" i="6"/>
  <c r="AW1000" i="6"/>
  <c r="AN1000" i="6"/>
  <c r="AE1000" i="6"/>
  <c r="M1000" i="6"/>
  <c r="AW999" i="6"/>
  <c r="AN999" i="6"/>
  <c r="AE999" i="6"/>
  <c r="M999" i="6"/>
  <c r="AW998" i="6"/>
  <c r="AN998" i="6"/>
  <c r="AE998" i="6"/>
  <c r="M998" i="6"/>
  <c r="AW997" i="6"/>
  <c r="AN997" i="6"/>
  <c r="AE997" i="6"/>
  <c r="M997" i="6"/>
  <c r="AW996" i="6"/>
  <c r="AN996" i="6"/>
  <c r="AE996" i="6"/>
  <c r="M996" i="6"/>
  <c r="AW995" i="6"/>
  <c r="AN995" i="6"/>
  <c r="AE995" i="6"/>
  <c r="M995" i="6"/>
  <c r="AW994" i="6"/>
  <c r="AN994" i="6"/>
  <c r="AE994" i="6"/>
  <c r="M994" i="6"/>
  <c r="AW993" i="6"/>
  <c r="AN993" i="6"/>
  <c r="AE993" i="6"/>
  <c r="M993" i="6"/>
  <c r="AW992" i="6"/>
  <c r="AN992" i="6"/>
  <c r="AE992" i="6"/>
  <c r="M992" i="6"/>
  <c r="AW991" i="6"/>
  <c r="AN991" i="6"/>
  <c r="AE991" i="6"/>
  <c r="M991" i="6"/>
  <c r="AW990" i="6"/>
  <c r="AN990" i="6"/>
  <c r="AE990" i="6"/>
  <c r="M990" i="6"/>
  <c r="AW989" i="6"/>
  <c r="AN989" i="6"/>
  <c r="AE989" i="6"/>
  <c r="M989" i="6"/>
  <c r="AW988" i="6"/>
  <c r="AN988" i="6"/>
  <c r="AE988" i="6"/>
  <c r="M988" i="6"/>
  <c r="AW987" i="6"/>
  <c r="AN987" i="6"/>
  <c r="AE987" i="6"/>
  <c r="M987" i="6"/>
  <c r="AW986" i="6"/>
  <c r="AN986" i="6"/>
  <c r="AE986" i="6"/>
  <c r="M986" i="6"/>
  <c r="AW985" i="6"/>
  <c r="AN985" i="6"/>
  <c r="AE985" i="6"/>
  <c r="M985" i="6"/>
  <c r="AW984" i="6"/>
  <c r="AN984" i="6"/>
  <c r="AE984" i="6"/>
  <c r="M984" i="6"/>
  <c r="AW983" i="6"/>
  <c r="AN983" i="6"/>
  <c r="AE983" i="6"/>
  <c r="M983" i="6"/>
  <c r="AW982" i="6"/>
  <c r="AN982" i="6"/>
  <c r="AE982" i="6"/>
  <c r="M982" i="6"/>
  <c r="AW981" i="6"/>
  <c r="AN981" i="6"/>
  <c r="AE981" i="6"/>
  <c r="M981" i="6"/>
  <c r="AW980" i="6"/>
  <c r="AN980" i="6"/>
  <c r="AE980" i="6"/>
  <c r="M980" i="6"/>
  <c r="AW979" i="6"/>
  <c r="AN979" i="6"/>
  <c r="AE979" i="6"/>
  <c r="M979" i="6"/>
  <c r="AW978" i="6"/>
  <c r="AN978" i="6"/>
  <c r="AE978" i="6"/>
  <c r="M978" i="6"/>
  <c r="AW977" i="6"/>
  <c r="AN977" i="6"/>
  <c r="AE977" i="6"/>
  <c r="M977" i="6"/>
  <c r="AW976" i="6"/>
  <c r="AN976" i="6"/>
  <c r="AE976" i="6"/>
  <c r="M976" i="6"/>
  <c r="AW975" i="6"/>
  <c r="AN975" i="6"/>
  <c r="AE975" i="6"/>
  <c r="M975" i="6"/>
  <c r="AW974" i="6"/>
  <c r="AN974" i="6"/>
  <c r="AE974" i="6"/>
  <c r="M974" i="6"/>
  <c r="AW973" i="6"/>
  <c r="AN973" i="6"/>
  <c r="AE973" i="6"/>
  <c r="M973" i="6"/>
  <c r="AW972" i="6"/>
  <c r="AN972" i="6"/>
  <c r="AE972" i="6"/>
  <c r="M972" i="6"/>
  <c r="AW971" i="6"/>
  <c r="AN971" i="6"/>
  <c r="AE971" i="6"/>
  <c r="M971" i="6"/>
  <c r="AW970" i="6"/>
  <c r="AN970" i="6"/>
  <c r="AE970" i="6"/>
  <c r="M970" i="6"/>
  <c r="AW969" i="6"/>
  <c r="AN969" i="6"/>
  <c r="AE969" i="6"/>
  <c r="M969" i="6"/>
  <c r="AW968" i="6"/>
  <c r="AN968" i="6"/>
  <c r="AE968" i="6"/>
  <c r="M968" i="6"/>
  <c r="AW967" i="6"/>
  <c r="AN967" i="6"/>
  <c r="AE967" i="6"/>
  <c r="M967" i="6"/>
  <c r="AW966" i="6"/>
  <c r="AN966" i="6"/>
  <c r="AE966" i="6"/>
  <c r="M966" i="6"/>
  <c r="AW965" i="6"/>
  <c r="AN965" i="6"/>
  <c r="AE965" i="6"/>
  <c r="M965" i="6"/>
  <c r="AW964" i="6"/>
  <c r="AN964" i="6"/>
  <c r="AE964" i="6"/>
  <c r="M964" i="6"/>
  <c r="AW963" i="6"/>
  <c r="AN963" i="6"/>
  <c r="AE963" i="6"/>
  <c r="M963" i="6"/>
  <c r="AW962" i="6"/>
  <c r="AN962" i="6"/>
  <c r="AE962" i="6"/>
  <c r="M962" i="6"/>
  <c r="AW961" i="6"/>
  <c r="AN961" i="6"/>
  <c r="AE961" i="6"/>
  <c r="M961" i="6"/>
  <c r="AW960" i="6"/>
  <c r="AN960" i="6"/>
  <c r="AE960" i="6"/>
  <c r="M960" i="6"/>
  <c r="AW959" i="6"/>
  <c r="AN959" i="6"/>
  <c r="AE959" i="6"/>
  <c r="M959" i="6"/>
  <c r="AW958" i="6"/>
  <c r="AN958" i="6"/>
  <c r="AE958" i="6"/>
  <c r="M958" i="6"/>
  <c r="AW957" i="6"/>
  <c r="AN957" i="6"/>
  <c r="AE957" i="6"/>
  <c r="M957" i="6"/>
  <c r="AW956" i="6"/>
  <c r="AN956" i="6"/>
  <c r="AE956" i="6"/>
  <c r="M956" i="6"/>
  <c r="AW955" i="6"/>
  <c r="AN955" i="6"/>
  <c r="AE955" i="6"/>
  <c r="M955" i="6"/>
  <c r="AW954" i="6"/>
  <c r="AN954" i="6"/>
  <c r="AE954" i="6"/>
  <c r="M954" i="6"/>
  <c r="AW953" i="6"/>
  <c r="AN953" i="6"/>
  <c r="AE953" i="6"/>
  <c r="M953" i="6"/>
  <c r="AW952" i="6"/>
  <c r="AN952" i="6"/>
  <c r="AE952" i="6"/>
  <c r="M952" i="6"/>
  <c r="AW951" i="6"/>
  <c r="AN951" i="6"/>
  <c r="AE951" i="6"/>
  <c r="M951" i="6"/>
  <c r="AW950" i="6"/>
  <c r="AN950" i="6"/>
  <c r="AE950" i="6"/>
  <c r="M950" i="6"/>
  <c r="AW949" i="6"/>
  <c r="AN949" i="6"/>
  <c r="AE949" i="6"/>
  <c r="M949" i="6"/>
  <c r="AW948" i="6"/>
  <c r="AN948" i="6"/>
  <c r="AE948" i="6"/>
  <c r="M948" i="6"/>
  <c r="AW947" i="6"/>
  <c r="AN947" i="6"/>
  <c r="AE947" i="6"/>
  <c r="M947" i="6"/>
  <c r="AW946" i="6"/>
  <c r="AN946" i="6"/>
  <c r="AE946" i="6"/>
  <c r="M946" i="6"/>
  <c r="AW945" i="6"/>
  <c r="AN945" i="6"/>
  <c r="AE945" i="6"/>
  <c r="M945" i="6"/>
  <c r="AW944" i="6"/>
  <c r="AN944" i="6"/>
  <c r="AE944" i="6"/>
  <c r="M944" i="6"/>
  <c r="AW943" i="6"/>
  <c r="AN943" i="6"/>
  <c r="AE943" i="6"/>
  <c r="M943" i="6"/>
  <c r="AW942" i="6"/>
  <c r="AN942" i="6"/>
  <c r="AE942" i="6"/>
  <c r="M942" i="6"/>
  <c r="AW941" i="6"/>
  <c r="AN941" i="6"/>
  <c r="AE941" i="6"/>
  <c r="M941" i="6"/>
  <c r="AW940" i="6"/>
  <c r="AN940" i="6"/>
  <c r="AE940" i="6"/>
  <c r="M940" i="6"/>
  <c r="AW939" i="6"/>
  <c r="AN939" i="6"/>
  <c r="AE939" i="6"/>
  <c r="M939" i="6"/>
  <c r="AW938" i="6"/>
  <c r="AN938" i="6"/>
  <c r="AE938" i="6"/>
  <c r="M938" i="6"/>
  <c r="AW937" i="6"/>
  <c r="AN937" i="6"/>
  <c r="AE937" i="6"/>
  <c r="M937" i="6"/>
  <c r="AW936" i="6"/>
  <c r="AN936" i="6"/>
  <c r="AE936" i="6"/>
  <c r="M936" i="6"/>
  <c r="AW935" i="6"/>
  <c r="AN935" i="6"/>
  <c r="AE935" i="6"/>
  <c r="M935" i="6"/>
  <c r="AW934" i="6"/>
  <c r="AN934" i="6"/>
  <c r="AE934" i="6"/>
  <c r="M934" i="6"/>
  <c r="AW933" i="6"/>
  <c r="AN933" i="6"/>
  <c r="AE933" i="6"/>
  <c r="M933" i="6"/>
  <c r="AW932" i="6"/>
  <c r="AN932" i="6"/>
  <c r="AE932" i="6"/>
  <c r="M932" i="6"/>
  <c r="AW931" i="6"/>
  <c r="AN931" i="6"/>
  <c r="AE931" i="6"/>
  <c r="M931" i="6"/>
  <c r="AW930" i="6"/>
  <c r="AN930" i="6"/>
  <c r="AE930" i="6"/>
  <c r="M930" i="6"/>
  <c r="AW929" i="6"/>
  <c r="AN929" i="6"/>
  <c r="AE929" i="6"/>
  <c r="M929" i="6"/>
  <c r="AW928" i="6"/>
  <c r="AN928" i="6"/>
  <c r="AE928" i="6"/>
  <c r="M928" i="6"/>
  <c r="AW927" i="6"/>
  <c r="AN927" i="6"/>
  <c r="AE927" i="6"/>
  <c r="M927" i="6"/>
  <c r="AW926" i="6"/>
  <c r="AN926" i="6"/>
  <c r="AE926" i="6"/>
  <c r="M926" i="6"/>
  <c r="AW925" i="6"/>
  <c r="AN925" i="6"/>
  <c r="AE925" i="6"/>
  <c r="M925" i="6"/>
  <c r="AW924" i="6"/>
  <c r="AN924" i="6"/>
  <c r="AE924" i="6"/>
  <c r="M924" i="6"/>
  <c r="AW923" i="6"/>
  <c r="AN923" i="6"/>
  <c r="AE923" i="6"/>
  <c r="M923" i="6"/>
  <c r="AW922" i="6"/>
  <c r="AN922" i="6"/>
  <c r="AE922" i="6"/>
  <c r="M922" i="6"/>
  <c r="AW921" i="6"/>
  <c r="AN921" i="6"/>
  <c r="AE921" i="6"/>
  <c r="M921" i="6"/>
  <c r="AW920" i="6"/>
  <c r="AN920" i="6"/>
  <c r="AE920" i="6"/>
  <c r="M920" i="6"/>
  <c r="AW919" i="6"/>
  <c r="AN919" i="6"/>
  <c r="AE919" i="6"/>
  <c r="M919" i="6"/>
  <c r="AW918" i="6"/>
  <c r="AN918" i="6"/>
  <c r="AE918" i="6"/>
  <c r="M918" i="6"/>
  <c r="AW917" i="6"/>
  <c r="AN917" i="6"/>
  <c r="AE917" i="6"/>
  <c r="M917" i="6"/>
  <c r="AW916" i="6"/>
  <c r="AN916" i="6"/>
  <c r="AE916" i="6"/>
  <c r="M916" i="6"/>
  <c r="AW915" i="6"/>
  <c r="AN915" i="6"/>
  <c r="AE915" i="6"/>
  <c r="M915" i="6"/>
  <c r="AW914" i="6"/>
  <c r="AN914" i="6"/>
  <c r="AE914" i="6"/>
  <c r="M914" i="6"/>
  <c r="AW913" i="6"/>
  <c r="AN913" i="6"/>
  <c r="AE913" i="6"/>
  <c r="M913" i="6"/>
  <c r="AW912" i="6"/>
  <c r="AN912" i="6"/>
  <c r="AE912" i="6"/>
  <c r="M912" i="6"/>
  <c r="AW911" i="6"/>
  <c r="AN911" i="6"/>
  <c r="AE911" i="6"/>
  <c r="M911" i="6"/>
  <c r="AW910" i="6"/>
  <c r="AN910" i="6"/>
  <c r="AE910" i="6"/>
  <c r="M910" i="6"/>
  <c r="AW909" i="6"/>
  <c r="AN909" i="6"/>
  <c r="AE909" i="6"/>
  <c r="M909" i="6"/>
  <c r="AW908" i="6"/>
  <c r="AN908" i="6"/>
  <c r="AE908" i="6"/>
  <c r="M908" i="6"/>
  <c r="AW907" i="6"/>
  <c r="AN907" i="6"/>
  <c r="AE907" i="6"/>
  <c r="M907" i="6"/>
  <c r="AW906" i="6"/>
  <c r="AN906" i="6"/>
  <c r="AE906" i="6"/>
  <c r="M906" i="6"/>
  <c r="AW905" i="6"/>
  <c r="AN905" i="6"/>
  <c r="AE905" i="6"/>
  <c r="M905" i="6"/>
  <c r="AW904" i="6"/>
  <c r="AN904" i="6"/>
  <c r="AE904" i="6"/>
  <c r="M904" i="6"/>
  <c r="AW903" i="6"/>
  <c r="AN903" i="6"/>
  <c r="AE903" i="6"/>
  <c r="M903" i="6"/>
  <c r="AW902" i="6"/>
  <c r="AN902" i="6"/>
  <c r="AE902" i="6"/>
  <c r="M902" i="6"/>
  <c r="AW901" i="6"/>
  <c r="AN901" i="6"/>
  <c r="AE901" i="6"/>
  <c r="M901" i="6"/>
  <c r="AW900" i="6"/>
  <c r="AN900" i="6"/>
  <c r="AE900" i="6"/>
  <c r="M900" i="6"/>
  <c r="AW899" i="6"/>
  <c r="AN899" i="6"/>
  <c r="AE899" i="6"/>
  <c r="M899" i="6"/>
  <c r="AW898" i="6"/>
  <c r="AN898" i="6"/>
  <c r="AE898" i="6"/>
  <c r="M898" i="6"/>
  <c r="AW897" i="6"/>
  <c r="AN897" i="6"/>
  <c r="AE897" i="6"/>
  <c r="M897" i="6"/>
  <c r="AW896" i="6"/>
  <c r="AN896" i="6"/>
  <c r="AE896" i="6"/>
  <c r="M896" i="6"/>
  <c r="AW895" i="6"/>
  <c r="AN895" i="6"/>
  <c r="AE895" i="6"/>
  <c r="M895" i="6"/>
  <c r="AW894" i="6"/>
  <c r="AN894" i="6"/>
  <c r="AE894" i="6"/>
  <c r="M894" i="6"/>
  <c r="AW893" i="6"/>
  <c r="AN893" i="6"/>
  <c r="AE893" i="6"/>
  <c r="M893" i="6"/>
  <c r="AW892" i="6"/>
  <c r="AN892" i="6"/>
  <c r="AE892" i="6"/>
  <c r="M892" i="6"/>
  <c r="AW891" i="6"/>
  <c r="AN891" i="6"/>
  <c r="AE891" i="6"/>
  <c r="M891" i="6"/>
  <c r="AW890" i="6"/>
  <c r="AN890" i="6"/>
  <c r="AE890" i="6"/>
  <c r="M890" i="6"/>
  <c r="AW889" i="6"/>
  <c r="AN889" i="6"/>
  <c r="AE889" i="6"/>
  <c r="M889" i="6"/>
  <c r="AW888" i="6"/>
  <c r="AN888" i="6"/>
  <c r="AE888" i="6"/>
  <c r="M888" i="6"/>
  <c r="AW887" i="6"/>
  <c r="AN887" i="6"/>
  <c r="AE887" i="6"/>
  <c r="M887" i="6"/>
  <c r="AW886" i="6"/>
  <c r="AN886" i="6"/>
  <c r="AE886" i="6"/>
  <c r="M886" i="6"/>
  <c r="AW885" i="6"/>
  <c r="AN885" i="6"/>
  <c r="AE885" i="6"/>
  <c r="M885" i="6"/>
  <c r="AW884" i="6"/>
  <c r="AN884" i="6"/>
  <c r="AE884" i="6"/>
  <c r="M884" i="6"/>
  <c r="AW883" i="6"/>
  <c r="AN883" i="6"/>
  <c r="AE883" i="6"/>
  <c r="M883" i="6"/>
  <c r="AW882" i="6"/>
  <c r="AN882" i="6"/>
  <c r="AE882" i="6"/>
  <c r="M882" i="6"/>
  <c r="AW881" i="6"/>
  <c r="AN881" i="6"/>
  <c r="AE881" i="6"/>
  <c r="M881" i="6"/>
  <c r="AW880" i="6"/>
  <c r="AN880" i="6"/>
  <c r="AE880" i="6"/>
  <c r="M880" i="6"/>
  <c r="AW879" i="6"/>
  <c r="AN879" i="6"/>
  <c r="AE879" i="6"/>
  <c r="M879" i="6"/>
  <c r="AW878" i="6"/>
  <c r="AN878" i="6"/>
  <c r="AE878" i="6"/>
  <c r="M878" i="6"/>
  <c r="AW877" i="6"/>
  <c r="AN877" i="6"/>
  <c r="AE877" i="6"/>
  <c r="M877" i="6"/>
  <c r="AW876" i="6"/>
  <c r="AN876" i="6"/>
  <c r="AE876" i="6"/>
  <c r="M876" i="6"/>
  <c r="AW875" i="6"/>
  <c r="AN875" i="6"/>
  <c r="AE875" i="6"/>
  <c r="M875" i="6"/>
  <c r="AW874" i="6"/>
  <c r="AN874" i="6"/>
  <c r="AE874" i="6"/>
  <c r="M874" i="6"/>
  <c r="AW873" i="6"/>
  <c r="AN873" i="6"/>
  <c r="AE873" i="6"/>
  <c r="M873" i="6"/>
  <c r="AW872" i="6"/>
  <c r="AN872" i="6"/>
  <c r="AE872" i="6"/>
  <c r="M872" i="6"/>
  <c r="AW871" i="6"/>
  <c r="AN871" i="6"/>
  <c r="AE871" i="6"/>
  <c r="M871" i="6"/>
  <c r="AW870" i="6"/>
  <c r="AN870" i="6"/>
  <c r="AE870" i="6"/>
  <c r="M870" i="6"/>
  <c r="AW869" i="6"/>
  <c r="AN869" i="6"/>
  <c r="AE869" i="6"/>
  <c r="M869" i="6"/>
  <c r="AW868" i="6"/>
  <c r="AN868" i="6"/>
  <c r="AE868" i="6"/>
  <c r="M868" i="6"/>
  <c r="AW867" i="6"/>
  <c r="AN867" i="6"/>
  <c r="AE867" i="6"/>
  <c r="M867" i="6"/>
  <c r="AW866" i="6"/>
  <c r="AN866" i="6"/>
  <c r="AE866" i="6"/>
  <c r="M866" i="6"/>
  <c r="AW865" i="6"/>
  <c r="AN865" i="6"/>
  <c r="AE865" i="6"/>
  <c r="M865" i="6"/>
  <c r="AW864" i="6"/>
  <c r="AN864" i="6"/>
  <c r="AE864" i="6"/>
  <c r="M864" i="6"/>
  <c r="AW863" i="6"/>
  <c r="AN863" i="6"/>
  <c r="AE863" i="6"/>
  <c r="M863" i="6"/>
  <c r="AW862" i="6"/>
  <c r="AN862" i="6"/>
  <c r="AE862" i="6"/>
  <c r="M862" i="6"/>
  <c r="AW861" i="6"/>
  <c r="AN861" i="6"/>
  <c r="AE861" i="6"/>
  <c r="M861" i="6"/>
  <c r="AW860" i="6"/>
  <c r="AN860" i="6"/>
  <c r="AE860" i="6"/>
  <c r="M860" i="6"/>
  <c r="AW859" i="6"/>
  <c r="AN859" i="6"/>
  <c r="AE859" i="6"/>
  <c r="M859" i="6"/>
  <c r="AW858" i="6"/>
  <c r="AN858" i="6"/>
  <c r="AE858" i="6"/>
  <c r="M858" i="6"/>
  <c r="AW857" i="6"/>
  <c r="AN857" i="6"/>
  <c r="AE857" i="6"/>
  <c r="M857" i="6"/>
  <c r="AW856" i="6"/>
  <c r="AN856" i="6"/>
  <c r="AE856" i="6"/>
  <c r="M856" i="6"/>
  <c r="AW855" i="6"/>
  <c r="AN855" i="6"/>
  <c r="AE855" i="6"/>
  <c r="M855" i="6"/>
  <c r="AW854" i="6"/>
  <c r="AN854" i="6"/>
  <c r="AE854" i="6"/>
  <c r="M854" i="6"/>
  <c r="AW853" i="6"/>
  <c r="AN853" i="6"/>
  <c r="AE853" i="6"/>
  <c r="M853" i="6"/>
  <c r="AW852" i="6"/>
  <c r="AN852" i="6"/>
  <c r="AE852" i="6"/>
  <c r="M852" i="6"/>
  <c r="AW851" i="6"/>
  <c r="AN851" i="6"/>
  <c r="AE851" i="6"/>
  <c r="M851" i="6"/>
  <c r="AW850" i="6"/>
  <c r="AN850" i="6"/>
  <c r="AE850" i="6"/>
  <c r="M850" i="6"/>
  <c r="AW849" i="6"/>
  <c r="AN849" i="6"/>
  <c r="AE849" i="6"/>
  <c r="M849" i="6"/>
  <c r="AW848" i="6"/>
  <c r="AN848" i="6"/>
  <c r="AE848" i="6"/>
  <c r="M848" i="6"/>
  <c r="AW847" i="6"/>
  <c r="AN847" i="6"/>
  <c r="AE847" i="6"/>
  <c r="M847" i="6"/>
  <c r="AW846" i="6"/>
  <c r="AN846" i="6"/>
  <c r="AE846" i="6"/>
  <c r="M846" i="6"/>
  <c r="AW845" i="6"/>
  <c r="AN845" i="6"/>
  <c r="AE845" i="6"/>
  <c r="M845" i="6"/>
  <c r="AW844" i="6"/>
  <c r="AN844" i="6"/>
  <c r="AE844" i="6"/>
  <c r="M844" i="6"/>
  <c r="AW843" i="6"/>
  <c r="AN843" i="6"/>
  <c r="AE843" i="6"/>
  <c r="M843" i="6"/>
  <c r="AW842" i="6"/>
  <c r="AN842" i="6"/>
  <c r="AE842" i="6"/>
  <c r="M842" i="6"/>
  <c r="AW841" i="6"/>
  <c r="AN841" i="6"/>
  <c r="AE841" i="6"/>
  <c r="M841" i="6"/>
  <c r="AW840" i="6"/>
  <c r="AN840" i="6"/>
  <c r="AE840" i="6"/>
  <c r="M840" i="6"/>
  <c r="AW839" i="6"/>
  <c r="AN839" i="6"/>
  <c r="AE839" i="6"/>
  <c r="M839" i="6"/>
  <c r="AW838" i="6"/>
  <c r="AN838" i="6"/>
  <c r="AE838" i="6"/>
  <c r="M838" i="6"/>
  <c r="AW837" i="6"/>
  <c r="AN837" i="6"/>
  <c r="AE837" i="6"/>
  <c r="M837" i="6"/>
  <c r="AW836" i="6"/>
  <c r="AN836" i="6"/>
  <c r="AE836" i="6"/>
  <c r="M836" i="6"/>
  <c r="AW835" i="6"/>
  <c r="AN835" i="6"/>
  <c r="AE835" i="6"/>
  <c r="M835" i="6"/>
  <c r="AW834" i="6"/>
  <c r="AN834" i="6"/>
  <c r="AE834" i="6"/>
  <c r="M834" i="6"/>
  <c r="AW833" i="6"/>
  <c r="AN833" i="6"/>
  <c r="AE833" i="6"/>
  <c r="M833" i="6"/>
  <c r="AW832" i="6"/>
  <c r="AN832" i="6"/>
  <c r="AE832" i="6"/>
  <c r="M832" i="6"/>
  <c r="AW831" i="6"/>
  <c r="AN831" i="6"/>
  <c r="AE831" i="6"/>
  <c r="M831" i="6"/>
  <c r="AW830" i="6"/>
  <c r="AN830" i="6"/>
  <c r="AE830" i="6"/>
  <c r="M830" i="6"/>
  <c r="AW829" i="6"/>
  <c r="AN829" i="6"/>
  <c r="AE829" i="6"/>
  <c r="M829" i="6"/>
  <c r="AW828" i="6"/>
  <c r="AN828" i="6"/>
  <c r="AE828" i="6"/>
  <c r="M828" i="6"/>
  <c r="AW827" i="6"/>
  <c r="AN827" i="6"/>
  <c r="AE827" i="6"/>
  <c r="M827" i="6"/>
  <c r="AW826" i="6"/>
  <c r="AN826" i="6"/>
  <c r="AE826" i="6"/>
  <c r="M826" i="6"/>
  <c r="AW825" i="6"/>
  <c r="AN825" i="6"/>
  <c r="AE825" i="6"/>
  <c r="M825" i="6"/>
  <c r="AW824" i="6"/>
  <c r="AN824" i="6"/>
  <c r="AE824" i="6"/>
  <c r="M824" i="6"/>
  <c r="AW823" i="6"/>
  <c r="AN823" i="6"/>
  <c r="AE823" i="6"/>
  <c r="M823" i="6"/>
  <c r="AW822" i="6"/>
  <c r="AN822" i="6"/>
  <c r="AE822" i="6"/>
  <c r="M822" i="6"/>
  <c r="AW821" i="6"/>
  <c r="AN821" i="6"/>
  <c r="AE821" i="6"/>
  <c r="M821" i="6"/>
  <c r="AW820" i="6"/>
  <c r="AN820" i="6"/>
  <c r="AE820" i="6"/>
  <c r="M820" i="6"/>
  <c r="AW819" i="6"/>
  <c r="AN819" i="6"/>
  <c r="AE819" i="6"/>
  <c r="M819" i="6"/>
  <c r="AW818" i="6"/>
  <c r="AN818" i="6"/>
  <c r="AE818" i="6"/>
  <c r="M818" i="6"/>
  <c r="AW817" i="6"/>
  <c r="AN817" i="6"/>
  <c r="AE817" i="6"/>
  <c r="M817" i="6"/>
  <c r="AW816" i="6"/>
  <c r="AN816" i="6"/>
  <c r="AE816" i="6"/>
  <c r="M816" i="6"/>
  <c r="AW815" i="6"/>
  <c r="AN815" i="6"/>
  <c r="AE815" i="6"/>
  <c r="M815" i="6"/>
  <c r="AW814" i="6"/>
  <c r="AN814" i="6"/>
  <c r="AE814" i="6"/>
  <c r="M814" i="6"/>
  <c r="AW813" i="6"/>
  <c r="AN813" i="6"/>
  <c r="AE813" i="6"/>
  <c r="M813" i="6"/>
  <c r="AW812" i="6"/>
  <c r="AN812" i="6"/>
  <c r="AE812" i="6"/>
  <c r="M812" i="6"/>
  <c r="AW811" i="6"/>
  <c r="AN811" i="6"/>
  <c r="AE811" i="6"/>
  <c r="M811" i="6"/>
  <c r="AW810" i="6"/>
  <c r="AN810" i="6"/>
  <c r="AE810" i="6"/>
  <c r="M810" i="6"/>
  <c r="AW809" i="6"/>
  <c r="AN809" i="6"/>
  <c r="AE809" i="6"/>
  <c r="M809" i="6"/>
  <c r="AW808" i="6"/>
  <c r="AN808" i="6"/>
  <c r="AE808" i="6"/>
  <c r="M808" i="6"/>
  <c r="AW807" i="6"/>
  <c r="AN807" i="6"/>
  <c r="AE807" i="6"/>
  <c r="M807" i="6"/>
  <c r="AW806" i="6"/>
  <c r="AN806" i="6"/>
  <c r="AE806" i="6"/>
  <c r="M806" i="6"/>
  <c r="AW805" i="6"/>
  <c r="AN805" i="6"/>
  <c r="AE805" i="6"/>
  <c r="M805" i="6"/>
  <c r="AW804" i="6"/>
  <c r="AN804" i="6"/>
  <c r="AE804" i="6"/>
  <c r="M804" i="6"/>
  <c r="AW803" i="6"/>
  <c r="AN803" i="6"/>
  <c r="AE803" i="6"/>
  <c r="M803" i="6"/>
  <c r="AW802" i="6"/>
  <c r="AN802" i="6"/>
  <c r="AE802" i="6"/>
  <c r="M802" i="6"/>
  <c r="AW801" i="6"/>
  <c r="AN801" i="6"/>
  <c r="AE801" i="6"/>
  <c r="M801" i="6"/>
  <c r="AW800" i="6"/>
  <c r="AN800" i="6"/>
  <c r="AE800" i="6"/>
  <c r="M800" i="6"/>
  <c r="AW799" i="6"/>
  <c r="AN799" i="6"/>
  <c r="AE799" i="6"/>
  <c r="M799" i="6"/>
  <c r="AW798" i="6"/>
  <c r="AN798" i="6"/>
  <c r="AE798" i="6"/>
  <c r="M798" i="6"/>
  <c r="AW797" i="6"/>
  <c r="AN797" i="6"/>
  <c r="AE797" i="6"/>
  <c r="M797" i="6"/>
  <c r="AW796" i="6"/>
  <c r="AN796" i="6"/>
  <c r="AE796" i="6"/>
  <c r="M796" i="6"/>
  <c r="AW795" i="6"/>
  <c r="AN795" i="6"/>
  <c r="AE795" i="6"/>
  <c r="M795" i="6"/>
  <c r="AW794" i="6"/>
  <c r="AN794" i="6"/>
  <c r="AE794" i="6"/>
  <c r="M794" i="6"/>
  <c r="AW793" i="6"/>
  <c r="AN793" i="6"/>
  <c r="AE793" i="6"/>
  <c r="M793" i="6"/>
  <c r="AW792" i="6"/>
  <c r="AN792" i="6"/>
  <c r="AE792" i="6"/>
  <c r="M792" i="6"/>
  <c r="AW791" i="6"/>
  <c r="AN791" i="6"/>
  <c r="AE791" i="6"/>
  <c r="M791" i="6"/>
  <c r="AW790" i="6"/>
  <c r="AN790" i="6"/>
  <c r="AE790" i="6"/>
  <c r="M790" i="6"/>
  <c r="AW789" i="6"/>
  <c r="AN789" i="6"/>
  <c r="AE789" i="6"/>
  <c r="M789" i="6"/>
  <c r="AW788" i="6"/>
  <c r="AN788" i="6"/>
  <c r="AE788" i="6"/>
  <c r="M788" i="6"/>
  <c r="AW787" i="6"/>
  <c r="AN787" i="6"/>
  <c r="AE787" i="6"/>
  <c r="M787" i="6"/>
  <c r="AW786" i="6"/>
  <c r="AN786" i="6"/>
  <c r="AE786" i="6"/>
  <c r="M786" i="6"/>
  <c r="AW785" i="6"/>
  <c r="AN785" i="6"/>
  <c r="AE785" i="6"/>
  <c r="M785" i="6"/>
  <c r="AW784" i="6"/>
  <c r="AN784" i="6"/>
  <c r="AE784" i="6"/>
  <c r="M784" i="6"/>
  <c r="AW783" i="6"/>
  <c r="AN783" i="6"/>
  <c r="AE783" i="6"/>
  <c r="M783" i="6"/>
  <c r="AW782" i="6"/>
  <c r="AN782" i="6"/>
  <c r="AE782" i="6"/>
  <c r="M782" i="6"/>
  <c r="AW781" i="6"/>
  <c r="AN781" i="6"/>
  <c r="AE781" i="6"/>
  <c r="M781" i="6"/>
  <c r="AW780" i="6"/>
  <c r="AN780" i="6"/>
  <c r="AE780" i="6"/>
  <c r="M780" i="6"/>
  <c r="AW779" i="6"/>
  <c r="AN779" i="6"/>
  <c r="AE779" i="6"/>
  <c r="M779" i="6"/>
  <c r="AW778" i="6"/>
  <c r="AN778" i="6"/>
  <c r="AE778" i="6"/>
  <c r="M778" i="6"/>
  <c r="AW777" i="6"/>
  <c r="AN777" i="6"/>
  <c r="AE777" i="6"/>
  <c r="M777" i="6"/>
  <c r="AW776" i="6"/>
  <c r="AN776" i="6"/>
  <c r="AE776" i="6"/>
  <c r="M776" i="6"/>
  <c r="AW775" i="6"/>
  <c r="AN775" i="6"/>
  <c r="AE775" i="6"/>
  <c r="M775" i="6"/>
  <c r="AW774" i="6"/>
  <c r="AN774" i="6"/>
  <c r="AE774" i="6"/>
  <c r="M774" i="6"/>
  <c r="AW773" i="6"/>
  <c r="AN773" i="6"/>
  <c r="AE773" i="6"/>
  <c r="M773" i="6"/>
  <c r="AW772" i="6"/>
  <c r="AN772" i="6"/>
  <c r="AE772" i="6"/>
  <c r="M772" i="6"/>
  <c r="AW771" i="6"/>
  <c r="AN771" i="6"/>
  <c r="AE771" i="6"/>
  <c r="M771" i="6"/>
  <c r="AW770" i="6"/>
  <c r="AN770" i="6"/>
  <c r="AE770" i="6"/>
  <c r="M770" i="6"/>
  <c r="AW769" i="6"/>
  <c r="AN769" i="6"/>
  <c r="AE769" i="6"/>
  <c r="M769" i="6"/>
  <c r="AW768" i="6"/>
  <c r="AN768" i="6"/>
  <c r="AE768" i="6"/>
  <c r="M768" i="6"/>
  <c r="AW767" i="6"/>
  <c r="AN767" i="6"/>
  <c r="AE767" i="6"/>
  <c r="M767" i="6"/>
  <c r="AW766" i="6"/>
  <c r="AN766" i="6"/>
  <c r="AE766" i="6"/>
  <c r="M766" i="6"/>
  <c r="AW765" i="6"/>
  <c r="AN765" i="6"/>
  <c r="AE765" i="6"/>
  <c r="M765" i="6"/>
  <c r="AW764" i="6"/>
  <c r="AN764" i="6"/>
  <c r="AE764" i="6"/>
  <c r="M764" i="6"/>
  <c r="AW763" i="6"/>
  <c r="AN763" i="6"/>
  <c r="AE763" i="6"/>
  <c r="M763" i="6"/>
  <c r="AW762" i="6"/>
  <c r="AN762" i="6"/>
  <c r="AE762" i="6"/>
  <c r="M762" i="6"/>
  <c r="AW761" i="6"/>
  <c r="AN761" i="6"/>
  <c r="AE761" i="6"/>
  <c r="M761" i="6"/>
  <c r="AW760" i="6"/>
  <c r="AN760" i="6"/>
  <c r="AE760" i="6"/>
  <c r="M760" i="6"/>
  <c r="AW759" i="6"/>
  <c r="AN759" i="6"/>
  <c r="AE759" i="6"/>
  <c r="M759" i="6"/>
  <c r="AW758" i="6"/>
  <c r="AN758" i="6"/>
  <c r="AE758" i="6"/>
  <c r="M758" i="6"/>
  <c r="AW757" i="6"/>
  <c r="AN757" i="6"/>
  <c r="AE757" i="6"/>
  <c r="M757" i="6"/>
  <c r="AW756" i="6"/>
  <c r="AN756" i="6"/>
  <c r="AE756" i="6"/>
  <c r="M756" i="6"/>
  <c r="AW755" i="6"/>
  <c r="AN755" i="6"/>
  <c r="AE755" i="6"/>
  <c r="M755" i="6"/>
  <c r="AW754" i="6"/>
  <c r="AN754" i="6"/>
  <c r="AE754" i="6"/>
  <c r="M754" i="6"/>
  <c r="AW753" i="6"/>
  <c r="AN753" i="6"/>
  <c r="AE753" i="6"/>
  <c r="M753" i="6"/>
  <c r="AW752" i="6"/>
  <c r="AN752" i="6"/>
  <c r="AE752" i="6"/>
  <c r="M752" i="6"/>
  <c r="AW751" i="6"/>
  <c r="AN751" i="6"/>
  <c r="AE751" i="6"/>
  <c r="M751" i="6"/>
  <c r="AW750" i="6"/>
  <c r="AN750" i="6"/>
  <c r="AE750" i="6"/>
  <c r="M750" i="6"/>
  <c r="AW749" i="6"/>
  <c r="AN749" i="6"/>
  <c r="AE749" i="6"/>
  <c r="M749" i="6"/>
  <c r="AW748" i="6"/>
  <c r="AN748" i="6"/>
  <c r="AE748" i="6"/>
  <c r="M748" i="6"/>
  <c r="AW747" i="6"/>
  <c r="AN747" i="6"/>
  <c r="AE747" i="6"/>
  <c r="M747" i="6"/>
  <c r="AW746" i="6"/>
  <c r="AN746" i="6"/>
  <c r="AE746" i="6"/>
  <c r="M746" i="6"/>
  <c r="AW745" i="6"/>
  <c r="AN745" i="6"/>
  <c r="AE745" i="6"/>
  <c r="M745" i="6"/>
  <c r="AW744" i="6"/>
  <c r="AN744" i="6"/>
  <c r="AE744" i="6"/>
  <c r="M744" i="6"/>
  <c r="AW743" i="6"/>
  <c r="AN743" i="6"/>
  <c r="AE743" i="6"/>
  <c r="M743" i="6"/>
  <c r="AW742" i="6"/>
  <c r="AN742" i="6"/>
  <c r="AE742" i="6"/>
  <c r="M742" i="6"/>
  <c r="AW741" i="6"/>
  <c r="AN741" i="6"/>
  <c r="AE741" i="6"/>
  <c r="M741" i="6"/>
  <c r="AW740" i="6"/>
  <c r="AN740" i="6"/>
  <c r="AE740" i="6"/>
  <c r="M740" i="6"/>
  <c r="AW739" i="6"/>
  <c r="AN739" i="6"/>
  <c r="AE739" i="6"/>
  <c r="M739" i="6"/>
  <c r="AW738" i="6"/>
  <c r="AN738" i="6"/>
  <c r="AE738" i="6"/>
  <c r="M738" i="6"/>
  <c r="AW737" i="6"/>
  <c r="AN737" i="6"/>
  <c r="AE737" i="6"/>
  <c r="M737" i="6"/>
  <c r="AW736" i="6"/>
  <c r="AN736" i="6"/>
  <c r="AE736" i="6"/>
  <c r="M736" i="6"/>
  <c r="AW735" i="6"/>
  <c r="AN735" i="6"/>
  <c r="AE735" i="6"/>
  <c r="M735" i="6"/>
  <c r="AW734" i="6"/>
  <c r="AN734" i="6"/>
  <c r="AE734" i="6"/>
  <c r="M734" i="6"/>
  <c r="AW733" i="6"/>
  <c r="AN733" i="6"/>
  <c r="AE733" i="6"/>
  <c r="M733" i="6"/>
  <c r="AW732" i="6"/>
  <c r="AN732" i="6"/>
  <c r="AE732" i="6"/>
  <c r="M732" i="6"/>
  <c r="AW731" i="6"/>
  <c r="AN731" i="6"/>
  <c r="AE731" i="6"/>
  <c r="M731" i="6"/>
  <c r="AW730" i="6"/>
  <c r="AN730" i="6"/>
  <c r="AE730" i="6"/>
  <c r="M730" i="6"/>
  <c r="AW729" i="6"/>
  <c r="AN729" i="6"/>
  <c r="AE729" i="6"/>
  <c r="M729" i="6"/>
  <c r="AW728" i="6"/>
  <c r="AN728" i="6"/>
  <c r="AE728" i="6"/>
  <c r="M728" i="6"/>
  <c r="AW727" i="6"/>
  <c r="AN727" i="6"/>
  <c r="AE727" i="6"/>
  <c r="M727" i="6"/>
  <c r="AW726" i="6"/>
  <c r="AN726" i="6"/>
  <c r="AE726" i="6"/>
  <c r="M726" i="6"/>
  <c r="AW725" i="6"/>
  <c r="AN725" i="6"/>
  <c r="AE725" i="6"/>
  <c r="M725" i="6"/>
  <c r="AW724" i="6"/>
  <c r="AN724" i="6"/>
  <c r="AE724" i="6"/>
  <c r="M724" i="6"/>
  <c r="AW723" i="6"/>
  <c r="AN723" i="6"/>
  <c r="AE723" i="6"/>
  <c r="M723" i="6"/>
  <c r="AW722" i="6"/>
  <c r="AN722" i="6"/>
  <c r="AE722" i="6"/>
  <c r="M722" i="6"/>
  <c r="AW721" i="6"/>
  <c r="AN721" i="6"/>
  <c r="AE721" i="6"/>
  <c r="M721" i="6"/>
  <c r="AW720" i="6"/>
  <c r="AN720" i="6"/>
  <c r="AE720" i="6"/>
  <c r="M720" i="6"/>
  <c r="AW719" i="6"/>
  <c r="AN719" i="6"/>
  <c r="AE719" i="6"/>
  <c r="M719" i="6"/>
  <c r="AW718" i="6"/>
  <c r="AN718" i="6"/>
  <c r="AE718" i="6"/>
  <c r="M718" i="6"/>
  <c r="AW717" i="6"/>
  <c r="AN717" i="6"/>
  <c r="AE717" i="6"/>
  <c r="M717" i="6"/>
  <c r="AW716" i="6"/>
  <c r="AN716" i="6"/>
  <c r="AE716" i="6"/>
  <c r="M716" i="6"/>
  <c r="AW715" i="6"/>
  <c r="AN715" i="6"/>
  <c r="AE715" i="6"/>
  <c r="M715" i="6"/>
  <c r="AW714" i="6"/>
  <c r="AN714" i="6"/>
  <c r="AE714" i="6"/>
  <c r="M714" i="6"/>
  <c r="AW713" i="6"/>
  <c r="AN713" i="6"/>
  <c r="AE713" i="6"/>
  <c r="M713" i="6"/>
  <c r="AW712" i="6"/>
  <c r="AN712" i="6"/>
  <c r="AE712" i="6"/>
  <c r="M712" i="6"/>
  <c r="AW711" i="6"/>
  <c r="AN711" i="6"/>
  <c r="AE711" i="6"/>
  <c r="M711" i="6"/>
  <c r="AW710" i="6"/>
  <c r="AN710" i="6"/>
  <c r="AE710" i="6"/>
  <c r="M710" i="6"/>
  <c r="AW709" i="6"/>
  <c r="AN709" i="6"/>
  <c r="AE709" i="6"/>
  <c r="M709" i="6"/>
  <c r="AW708" i="6"/>
  <c r="AN708" i="6"/>
  <c r="AE708" i="6"/>
  <c r="M708" i="6"/>
  <c r="AW707" i="6"/>
  <c r="AN707" i="6"/>
  <c r="AE707" i="6"/>
  <c r="M707" i="6"/>
  <c r="AW706" i="6"/>
  <c r="AN706" i="6"/>
  <c r="AE706" i="6"/>
  <c r="M706" i="6"/>
  <c r="AW705" i="6"/>
  <c r="AN705" i="6"/>
  <c r="AE705" i="6"/>
  <c r="M705" i="6"/>
  <c r="AW704" i="6"/>
  <c r="AN704" i="6"/>
  <c r="AE704" i="6"/>
  <c r="M704" i="6"/>
  <c r="AW703" i="6"/>
  <c r="AN703" i="6"/>
  <c r="AE703" i="6"/>
  <c r="M703" i="6"/>
  <c r="AW702" i="6"/>
  <c r="AN702" i="6"/>
  <c r="AE702" i="6"/>
  <c r="M702" i="6"/>
  <c r="AW701" i="6"/>
  <c r="AN701" i="6"/>
  <c r="AE701" i="6"/>
  <c r="M701" i="6"/>
  <c r="AW700" i="6"/>
  <c r="AN700" i="6"/>
  <c r="AE700" i="6"/>
  <c r="M700" i="6"/>
  <c r="AW699" i="6"/>
  <c r="AN699" i="6"/>
  <c r="AE699" i="6"/>
  <c r="M699" i="6"/>
  <c r="AW698" i="6"/>
  <c r="AN698" i="6"/>
  <c r="AE698" i="6"/>
  <c r="M698" i="6"/>
  <c r="AW697" i="6"/>
  <c r="AN697" i="6"/>
  <c r="AE697" i="6"/>
  <c r="M697" i="6"/>
  <c r="AW696" i="6"/>
  <c r="AN696" i="6"/>
  <c r="AE696" i="6"/>
  <c r="M696" i="6"/>
  <c r="AW695" i="6"/>
  <c r="AN695" i="6"/>
  <c r="AE695" i="6"/>
  <c r="M695" i="6"/>
  <c r="AW694" i="6"/>
  <c r="AN694" i="6"/>
  <c r="AE694" i="6"/>
  <c r="M694" i="6"/>
  <c r="AW693" i="6"/>
  <c r="AN693" i="6"/>
  <c r="AE693" i="6"/>
  <c r="M693" i="6"/>
  <c r="AW692" i="6"/>
  <c r="AN692" i="6"/>
  <c r="AE692" i="6"/>
  <c r="M692" i="6"/>
  <c r="AW691" i="6"/>
  <c r="AN691" i="6"/>
  <c r="AE691" i="6"/>
  <c r="M691" i="6"/>
  <c r="AW690" i="6"/>
  <c r="AN690" i="6"/>
  <c r="AE690" i="6"/>
  <c r="M690" i="6"/>
  <c r="AW689" i="6"/>
  <c r="AN689" i="6"/>
  <c r="AE689" i="6"/>
  <c r="M689" i="6"/>
  <c r="AW688" i="6"/>
  <c r="AN688" i="6"/>
  <c r="AE688" i="6"/>
  <c r="M688" i="6"/>
  <c r="AW687" i="6"/>
  <c r="AN687" i="6"/>
  <c r="AE687" i="6"/>
  <c r="M687" i="6"/>
  <c r="AW686" i="6"/>
  <c r="AN686" i="6"/>
  <c r="AE686" i="6"/>
  <c r="M686" i="6"/>
  <c r="AW685" i="6"/>
  <c r="AN685" i="6"/>
  <c r="AE685" i="6"/>
  <c r="M685" i="6"/>
  <c r="AW684" i="6"/>
  <c r="AN684" i="6"/>
  <c r="AE684" i="6"/>
  <c r="M684" i="6"/>
  <c r="AW683" i="6"/>
  <c r="AN683" i="6"/>
  <c r="AE683" i="6"/>
  <c r="M683" i="6"/>
  <c r="AW682" i="6"/>
  <c r="AN682" i="6"/>
  <c r="AE682" i="6"/>
  <c r="M682" i="6"/>
  <c r="AW681" i="6"/>
  <c r="AN681" i="6"/>
  <c r="AE681" i="6"/>
  <c r="M681" i="6"/>
  <c r="AW680" i="6"/>
  <c r="AN680" i="6"/>
  <c r="AE680" i="6"/>
  <c r="M680" i="6"/>
  <c r="AW679" i="6"/>
  <c r="AN679" i="6"/>
  <c r="AE679" i="6"/>
  <c r="M679" i="6"/>
  <c r="AW678" i="6"/>
  <c r="AN678" i="6"/>
  <c r="AE678" i="6"/>
  <c r="M678" i="6"/>
  <c r="AW677" i="6"/>
  <c r="AN677" i="6"/>
  <c r="AE677" i="6"/>
  <c r="M677" i="6"/>
  <c r="AW676" i="6"/>
  <c r="AN676" i="6"/>
  <c r="AE676" i="6"/>
  <c r="M676" i="6"/>
  <c r="AW675" i="6"/>
  <c r="AN675" i="6"/>
  <c r="AE675" i="6"/>
  <c r="M675" i="6"/>
  <c r="AW674" i="6"/>
  <c r="AN674" i="6"/>
  <c r="AE674" i="6"/>
  <c r="M674" i="6"/>
  <c r="AW673" i="6"/>
  <c r="AN673" i="6"/>
  <c r="AE673" i="6"/>
  <c r="M673" i="6"/>
  <c r="AW672" i="6"/>
  <c r="AN672" i="6"/>
  <c r="AE672" i="6"/>
  <c r="M672" i="6"/>
  <c r="AW671" i="6"/>
  <c r="AN671" i="6"/>
  <c r="AE671" i="6"/>
  <c r="M671" i="6"/>
  <c r="AW670" i="6"/>
  <c r="AN670" i="6"/>
  <c r="AE670" i="6"/>
  <c r="M670" i="6"/>
  <c r="AW669" i="6"/>
  <c r="AN669" i="6"/>
  <c r="AE669" i="6"/>
  <c r="M669" i="6"/>
  <c r="AW668" i="6"/>
  <c r="AN668" i="6"/>
  <c r="AE668" i="6"/>
  <c r="M668" i="6"/>
  <c r="AW667" i="6"/>
  <c r="AN667" i="6"/>
  <c r="AE667" i="6"/>
  <c r="M667" i="6"/>
  <c r="AW666" i="6"/>
  <c r="AN666" i="6"/>
  <c r="AE666" i="6"/>
  <c r="M666" i="6"/>
  <c r="AW665" i="6"/>
  <c r="AN665" i="6"/>
  <c r="AE665" i="6"/>
  <c r="M665" i="6"/>
  <c r="AW664" i="6"/>
  <c r="AN664" i="6"/>
  <c r="AE664" i="6"/>
  <c r="M664" i="6"/>
  <c r="AW663" i="6"/>
  <c r="AN663" i="6"/>
  <c r="AE663" i="6"/>
  <c r="M663" i="6"/>
  <c r="AW662" i="6"/>
  <c r="AN662" i="6"/>
  <c r="AE662" i="6"/>
  <c r="M662" i="6"/>
  <c r="AW661" i="6"/>
  <c r="AN661" i="6"/>
  <c r="AE661" i="6"/>
  <c r="M661" i="6"/>
  <c r="AW660" i="6"/>
  <c r="AN660" i="6"/>
  <c r="AE660" i="6"/>
  <c r="M660" i="6"/>
  <c r="AW659" i="6"/>
  <c r="AN659" i="6"/>
  <c r="AE659" i="6"/>
  <c r="M659" i="6"/>
  <c r="AW658" i="6"/>
  <c r="AN658" i="6"/>
  <c r="AE658" i="6"/>
  <c r="M658" i="6"/>
  <c r="AW657" i="6"/>
  <c r="AN657" i="6"/>
  <c r="AE657" i="6"/>
  <c r="M657" i="6"/>
  <c r="AW656" i="6"/>
  <c r="AN656" i="6"/>
  <c r="AE656" i="6"/>
  <c r="M656" i="6"/>
  <c r="AW655" i="6"/>
  <c r="AN655" i="6"/>
  <c r="AE655" i="6"/>
  <c r="M655" i="6"/>
  <c r="AW654" i="6"/>
  <c r="AN654" i="6"/>
  <c r="AE654" i="6"/>
  <c r="M654" i="6"/>
  <c r="AW653" i="6"/>
  <c r="AN653" i="6"/>
  <c r="AE653" i="6"/>
  <c r="M653" i="6"/>
  <c r="AW652" i="6"/>
  <c r="AN652" i="6"/>
  <c r="AE652" i="6"/>
  <c r="M652" i="6"/>
  <c r="AW651" i="6"/>
  <c r="AN651" i="6"/>
  <c r="AE651" i="6"/>
  <c r="M651" i="6"/>
  <c r="AW650" i="6"/>
  <c r="AN650" i="6"/>
  <c r="AE650" i="6"/>
  <c r="M650" i="6"/>
  <c r="AW649" i="6"/>
  <c r="AN649" i="6"/>
  <c r="AE649" i="6"/>
  <c r="M649" i="6"/>
  <c r="AW648" i="6"/>
  <c r="AN648" i="6"/>
  <c r="AE648" i="6"/>
  <c r="M648" i="6"/>
  <c r="AW647" i="6"/>
  <c r="AN647" i="6"/>
  <c r="AE647" i="6"/>
  <c r="M647" i="6"/>
  <c r="AW646" i="6"/>
  <c r="AN646" i="6"/>
  <c r="AE646" i="6"/>
  <c r="M646" i="6"/>
  <c r="AW645" i="6"/>
  <c r="AN645" i="6"/>
  <c r="AE645" i="6"/>
  <c r="M645" i="6"/>
  <c r="AW644" i="6"/>
  <c r="AN644" i="6"/>
  <c r="AE644" i="6"/>
  <c r="M644" i="6"/>
  <c r="AW643" i="6"/>
  <c r="AN643" i="6"/>
  <c r="AE643" i="6"/>
  <c r="M643" i="6"/>
  <c r="AW642" i="6"/>
  <c r="AN642" i="6"/>
  <c r="AE642" i="6"/>
  <c r="M642" i="6"/>
  <c r="AW641" i="6"/>
  <c r="AN641" i="6"/>
  <c r="AE641" i="6"/>
  <c r="M641" i="6"/>
  <c r="AW640" i="6"/>
  <c r="AN640" i="6"/>
  <c r="AE640" i="6"/>
  <c r="M640" i="6"/>
  <c r="AW639" i="6"/>
  <c r="AN639" i="6"/>
  <c r="AE639" i="6"/>
  <c r="M639" i="6"/>
  <c r="AW638" i="6"/>
  <c r="AN638" i="6"/>
  <c r="AE638" i="6"/>
  <c r="M638" i="6"/>
  <c r="AW637" i="6"/>
  <c r="AN637" i="6"/>
  <c r="AE637" i="6"/>
  <c r="M637" i="6"/>
  <c r="AW636" i="6"/>
  <c r="AN636" i="6"/>
  <c r="AE636" i="6"/>
  <c r="M636" i="6"/>
  <c r="AW635" i="6"/>
  <c r="AN635" i="6"/>
  <c r="AE635" i="6"/>
  <c r="M635" i="6"/>
  <c r="AW634" i="6"/>
  <c r="AN634" i="6"/>
  <c r="AE634" i="6"/>
  <c r="M634" i="6"/>
  <c r="AW633" i="6"/>
  <c r="AN633" i="6"/>
  <c r="AE633" i="6"/>
  <c r="M633" i="6"/>
  <c r="AW632" i="6"/>
  <c r="AN632" i="6"/>
  <c r="AE632" i="6"/>
  <c r="M632" i="6"/>
  <c r="AW631" i="6"/>
  <c r="AN631" i="6"/>
  <c r="AE631" i="6"/>
  <c r="M631" i="6"/>
  <c r="AW630" i="6"/>
  <c r="AN630" i="6"/>
  <c r="AE630" i="6"/>
  <c r="M630" i="6"/>
  <c r="AW629" i="6"/>
  <c r="AN629" i="6"/>
  <c r="AE629" i="6"/>
  <c r="M629" i="6"/>
  <c r="AW628" i="6"/>
  <c r="AN628" i="6"/>
  <c r="AE628" i="6"/>
  <c r="M628" i="6"/>
  <c r="AW627" i="6"/>
  <c r="AN627" i="6"/>
  <c r="AE627" i="6"/>
  <c r="M627" i="6"/>
  <c r="AW626" i="6"/>
  <c r="AN626" i="6"/>
  <c r="AE626" i="6"/>
  <c r="M626" i="6"/>
  <c r="AW625" i="6"/>
  <c r="AN625" i="6"/>
  <c r="AE625" i="6"/>
  <c r="M625" i="6"/>
  <c r="AW624" i="6"/>
  <c r="AN624" i="6"/>
  <c r="AE624" i="6"/>
  <c r="M624" i="6"/>
  <c r="AW623" i="6"/>
  <c r="AN623" i="6"/>
  <c r="AE623" i="6"/>
  <c r="M623" i="6"/>
  <c r="AW622" i="6"/>
  <c r="AN622" i="6"/>
  <c r="AE622" i="6"/>
  <c r="M622" i="6"/>
  <c r="AW621" i="6"/>
  <c r="AN621" i="6"/>
  <c r="AE621" i="6"/>
  <c r="M621" i="6"/>
  <c r="AW620" i="6"/>
  <c r="AN620" i="6"/>
  <c r="AE620" i="6"/>
  <c r="M620" i="6"/>
  <c r="AW619" i="6"/>
  <c r="AN619" i="6"/>
  <c r="AE619" i="6"/>
  <c r="M619" i="6"/>
  <c r="AW618" i="6"/>
  <c r="AN618" i="6"/>
  <c r="AE618" i="6"/>
  <c r="M618" i="6"/>
  <c r="AW617" i="6"/>
  <c r="AN617" i="6"/>
  <c r="AE617" i="6"/>
  <c r="M617" i="6"/>
  <c r="AW616" i="6"/>
  <c r="AN616" i="6"/>
  <c r="AE616" i="6"/>
  <c r="M616" i="6"/>
  <c r="AW615" i="6"/>
  <c r="AN615" i="6"/>
  <c r="AE615" i="6"/>
  <c r="M615" i="6"/>
  <c r="AW614" i="6"/>
  <c r="AN614" i="6"/>
  <c r="AE614" i="6"/>
  <c r="M614" i="6"/>
  <c r="AW613" i="6"/>
  <c r="AN613" i="6"/>
  <c r="AE613" i="6"/>
  <c r="M613" i="6"/>
  <c r="AW612" i="6"/>
  <c r="AN612" i="6"/>
  <c r="AE612" i="6"/>
  <c r="M612" i="6"/>
  <c r="AW611" i="6"/>
  <c r="AN611" i="6"/>
  <c r="AE611" i="6"/>
  <c r="M611" i="6"/>
  <c r="AW610" i="6"/>
  <c r="AN610" i="6"/>
  <c r="AE610" i="6"/>
  <c r="M610" i="6"/>
  <c r="AW609" i="6"/>
  <c r="AN609" i="6"/>
  <c r="AE609" i="6"/>
  <c r="M609" i="6"/>
  <c r="AW608" i="6"/>
  <c r="AN608" i="6"/>
  <c r="AE608" i="6"/>
  <c r="M608" i="6"/>
  <c r="AW607" i="6"/>
  <c r="AN607" i="6"/>
  <c r="AE607" i="6"/>
  <c r="M607" i="6"/>
  <c r="AW606" i="6"/>
  <c r="AN606" i="6"/>
  <c r="AE606" i="6"/>
  <c r="M606" i="6"/>
  <c r="AW605" i="6"/>
  <c r="AN605" i="6"/>
  <c r="AE605" i="6"/>
  <c r="M605" i="6"/>
  <c r="AW604" i="6"/>
  <c r="AN604" i="6"/>
  <c r="AE604" i="6"/>
  <c r="M604" i="6"/>
  <c r="AW603" i="6"/>
  <c r="AN603" i="6"/>
  <c r="AE603" i="6"/>
  <c r="M603" i="6"/>
  <c r="AW602" i="6"/>
  <c r="AN602" i="6"/>
  <c r="AE602" i="6"/>
  <c r="M602" i="6"/>
  <c r="AW601" i="6"/>
  <c r="AN601" i="6"/>
  <c r="AE601" i="6"/>
  <c r="M601" i="6"/>
  <c r="AW600" i="6"/>
  <c r="AN600" i="6"/>
  <c r="AE600" i="6"/>
  <c r="M600" i="6"/>
  <c r="AW599" i="6"/>
  <c r="AN599" i="6"/>
  <c r="AE599" i="6"/>
  <c r="M599" i="6"/>
  <c r="AW598" i="6"/>
  <c r="AN598" i="6"/>
  <c r="AE598" i="6"/>
  <c r="M598" i="6"/>
  <c r="AW597" i="6"/>
  <c r="AN597" i="6"/>
  <c r="AE597" i="6"/>
  <c r="M597" i="6"/>
  <c r="AW596" i="6"/>
  <c r="AN596" i="6"/>
  <c r="AE596" i="6"/>
  <c r="M596" i="6"/>
  <c r="AW595" i="6"/>
  <c r="AN595" i="6"/>
  <c r="AE595" i="6"/>
  <c r="M595" i="6"/>
  <c r="AW594" i="6"/>
  <c r="AN594" i="6"/>
  <c r="AE594" i="6"/>
  <c r="M594" i="6"/>
  <c r="AW593" i="6"/>
  <c r="AN593" i="6"/>
  <c r="AE593" i="6"/>
  <c r="M593" i="6"/>
  <c r="AW592" i="6"/>
  <c r="AN592" i="6"/>
  <c r="AE592" i="6"/>
  <c r="M592" i="6"/>
  <c r="AW591" i="6"/>
  <c r="AN591" i="6"/>
  <c r="AE591" i="6"/>
  <c r="M591" i="6"/>
  <c r="AW590" i="6"/>
  <c r="AN590" i="6"/>
  <c r="AE590" i="6"/>
  <c r="M590" i="6"/>
  <c r="AW589" i="6"/>
  <c r="AN589" i="6"/>
  <c r="AE589" i="6"/>
  <c r="M589" i="6"/>
  <c r="AW588" i="6"/>
  <c r="AN588" i="6"/>
  <c r="AE588" i="6"/>
  <c r="M588" i="6"/>
  <c r="AW587" i="6"/>
  <c r="AN587" i="6"/>
  <c r="AE587" i="6"/>
  <c r="M587" i="6"/>
  <c r="AW586" i="6"/>
  <c r="AN586" i="6"/>
  <c r="AE586" i="6"/>
  <c r="M586" i="6"/>
  <c r="AW585" i="6"/>
  <c r="AN585" i="6"/>
  <c r="AE585" i="6"/>
  <c r="M585" i="6"/>
  <c r="AW584" i="6"/>
  <c r="AN584" i="6"/>
  <c r="AE584" i="6"/>
  <c r="M584" i="6"/>
  <c r="AW583" i="6"/>
  <c r="AN583" i="6"/>
  <c r="AE583" i="6"/>
  <c r="M583" i="6"/>
  <c r="AW582" i="6"/>
  <c r="AN582" i="6"/>
  <c r="AE582" i="6"/>
  <c r="M582" i="6"/>
  <c r="AW581" i="6"/>
  <c r="AN581" i="6"/>
  <c r="AE581" i="6"/>
  <c r="M581" i="6"/>
  <c r="AW580" i="6"/>
  <c r="AN580" i="6"/>
  <c r="AE580" i="6"/>
  <c r="M580" i="6"/>
  <c r="AW579" i="6"/>
  <c r="AN579" i="6"/>
  <c r="AE579" i="6"/>
  <c r="M579" i="6"/>
  <c r="AW578" i="6"/>
  <c r="AN578" i="6"/>
  <c r="AE578" i="6"/>
  <c r="M578" i="6"/>
  <c r="AW577" i="6"/>
  <c r="AN577" i="6"/>
  <c r="AE577" i="6"/>
  <c r="M577" i="6"/>
  <c r="AW576" i="6"/>
  <c r="AN576" i="6"/>
  <c r="AE576" i="6"/>
  <c r="M576" i="6"/>
  <c r="AW575" i="6"/>
  <c r="AN575" i="6"/>
  <c r="AE575" i="6"/>
  <c r="M575" i="6"/>
  <c r="AW574" i="6"/>
  <c r="AN574" i="6"/>
  <c r="AE574" i="6"/>
  <c r="M574" i="6"/>
  <c r="AW573" i="6"/>
  <c r="AN573" i="6"/>
  <c r="AE573" i="6"/>
  <c r="M573" i="6"/>
  <c r="AW572" i="6"/>
  <c r="AN572" i="6"/>
  <c r="AE572" i="6"/>
  <c r="M572" i="6"/>
  <c r="AW571" i="6"/>
  <c r="AN571" i="6"/>
  <c r="AE571" i="6"/>
  <c r="M571" i="6"/>
  <c r="AW570" i="6"/>
  <c r="AN570" i="6"/>
  <c r="AE570" i="6"/>
  <c r="M570" i="6"/>
  <c r="AW569" i="6"/>
  <c r="AN569" i="6"/>
  <c r="AE569" i="6"/>
  <c r="M569" i="6"/>
  <c r="AW568" i="6"/>
  <c r="AN568" i="6"/>
  <c r="AE568" i="6"/>
  <c r="M568" i="6"/>
  <c r="AW567" i="6"/>
  <c r="AN567" i="6"/>
  <c r="AE567" i="6"/>
  <c r="M567" i="6"/>
  <c r="AW566" i="6"/>
  <c r="AN566" i="6"/>
  <c r="AE566" i="6"/>
  <c r="M566" i="6"/>
  <c r="AW565" i="6"/>
  <c r="AN565" i="6"/>
  <c r="AE565" i="6"/>
  <c r="M565" i="6"/>
  <c r="AW564" i="6"/>
  <c r="AN564" i="6"/>
  <c r="AE564" i="6"/>
  <c r="M564" i="6"/>
  <c r="AW563" i="6"/>
  <c r="AN563" i="6"/>
  <c r="AE563" i="6"/>
  <c r="M563" i="6"/>
  <c r="AW562" i="6"/>
  <c r="AN562" i="6"/>
  <c r="AE562" i="6"/>
  <c r="M562" i="6"/>
  <c r="AW561" i="6"/>
  <c r="AN561" i="6"/>
  <c r="AE561" i="6"/>
  <c r="M561" i="6"/>
  <c r="AW560" i="6"/>
  <c r="AN560" i="6"/>
  <c r="AE560" i="6"/>
  <c r="M560" i="6"/>
  <c r="AW559" i="6"/>
  <c r="AN559" i="6"/>
  <c r="AE559" i="6"/>
  <c r="M559" i="6"/>
  <c r="AW558" i="6"/>
  <c r="AN558" i="6"/>
  <c r="AE558" i="6"/>
  <c r="M558" i="6"/>
  <c r="AW557" i="6"/>
  <c r="AN557" i="6"/>
  <c r="AE557" i="6"/>
  <c r="M557" i="6"/>
  <c r="AW556" i="6"/>
  <c r="AN556" i="6"/>
  <c r="AE556" i="6"/>
  <c r="M556" i="6"/>
  <c r="AW555" i="6"/>
  <c r="AN555" i="6"/>
  <c r="AE555" i="6"/>
  <c r="M555" i="6"/>
  <c r="AW554" i="6"/>
  <c r="AN554" i="6"/>
  <c r="AE554" i="6"/>
  <c r="M554" i="6"/>
  <c r="AW553" i="6"/>
  <c r="AN553" i="6"/>
  <c r="AE553" i="6"/>
  <c r="M553" i="6"/>
  <c r="AW552" i="6"/>
  <c r="AN552" i="6"/>
  <c r="AE552" i="6"/>
  <c r="M552" i="6"/>
  <c r="AW551" i="6"/>
  <c r="AN551" i="6"/>
  <c r="AE551" i="6"/>
  <c r="M551" i="6"/>
  <c r="AW550" i="6"/>
  <c r="AN550" i="6"/>
  <c r="AE550" i="6"/>
  <c r="M550" i="6"/>
  <c r="AW549" i="6"/>
  <c r="AN549" i="6"/>
  <c r="AE549" i="6"/>
  <c r="M549" i="6"/>
  <c r="AW548" i="6"/>
  <c r="AN548" i="6"/>
  <c r="AE548" i="6"/>
  <c r="M548" i="6"/>
  <c r="AW547" i="6"/>
  <c r="AN547" i="6"/>
  <c r="AE547" i="6"/>
  <c r="M547" i="6"/>
  <c r="AW546" i="6"/>
  <c r="AN546" i="6"/>
  <c r="AE546" i="6"/>
  <c r="M546" i="6"/>
  <c r="AW545" i="6"/>
  <c r="AN545" i="6"/>
  <c r="AE545" i="6"/>
  <c r="M545" i="6"/>
  <c r="AW544" i="6"/>
  <c r="AN544" i="6"/>
  <c r="AE544" i="6"/>
  <c r="M544" i="6"/>
  <c r="AW543" i="6"/>
  <c r="AN543" i="6"/>
  <c r="AE543" i="6"/>
  <c r="M543" i="6"/>
  <c r="AW542" i="6"/>
  <c r="AN542" i="6"/>
  <c r="AE542" i="6"/>
  <c r="M542" i="6"/>
  <c r="AW541" i="6"/>
  <c r="AN541" i="6"/>
  <c r="AE541" i="6"/>
  <c r="M541" i="6"/>
  <c r="AW540" i="6"/>
  <c r="AN540" i="6"/>
  <c r="AE540" i="6"/>
  <c r="M540" i="6"/>
  <c r="AW539" i="6"/>
  <c r="AN539" i="6"/>
  <c r="AE539" i="6"/>
  <c r="M539" i="6"/>
  <c r="AW538" i="6"/>
  <c r="AN538" i="6"/>
  <c r="AE538" i="6"/>
  <c r="M538" i="6"/>
  <c r="AW537" i="6"/>
  <c r="AN537" i="6"/>
  <c r="AE537" i="6"/>
  <c r="M537" i="6"/>
  <c r="AW536" i="6"/>
  <c r="AN536" i="6"/>
  <c r="AE536" i="6"/>
  <c r="M536" i="6"/>
  <c r="AW535" i="6"/>
  <c r="AN535" i="6"/>
  <c r="AE535" i="6"/>
  <c r="M535" i="6"/>
  <c r="AW534" i="6"/>
  <c r="AN534" i="6"/>
  <c r="AE534" i="6"/>
  <c r="M534" i="6"/>
  <c r="AW533" i="6"/>
  <c r="AN533" i="6"/>
  <c r="AE533" i="6"/>
  <c r="M533" i="6"/>
  <c r="AW532" i="6"/>
  <c r="AN532" i="6"/>
  <c r="AE532" i="6"/>
  <c r="M532" i="6"/>
  <c r="AW531" i="6"/>
  <c r="AN531" i="6"/>
  <c r="AE531" i="6"/>
  <c r="M531" i="6"/>
  <c r="AW530" i="6"/>
  <c r="AN530" i="6"/>
  <c r="AE530" i="6"/>
  <c r="M530" i="6"/>
  <c r="AW529" i="6"/>
  <c r="AN529" i="6"/>
  <c r="AE529" i="6"/>
  <c r="M529" i="6"/>
  <c r="AW528" i="6"/>
  <c r="AN528" i="6"/>
  <c r="AE528" i="6"/>
  <c r="M528" i="6"/>
  <c r="AW527" i="6"/>
  <c r="AN527" i="6"/>
  <c r="AE527" i="6"/>
  <c r="M527" i="6"/>
  <c r="AW526" i="6"/>
  <c r="AN526" i="6"/>
  <c r="AE526" i="6"/>
  <c r="M526" i="6"/>
  <c r="AW525" i="6"/>
  <c r="AN525" i="6"/>
  <c r="AE525" i="6"/>
  <c r="M525" i="6"/>
  <c r="AW524" i="6"/>
  <c r="AN524" i="6"/>
  <c r="AE524" i="6"/>
  <c r="M524" i="6"/>
  <c r="AW523" i="6"/>
  <c r="AN523" i="6"/>
  <c r="AE523" i="6"/>
  <c r="M523" i="6"/>
  <c r="AW522" i="6"/>
  <c r="AN522" i="6"/>
  <c r="AE522" i="6"/>
  <c r="M522" i="6"/>
  <c r="AW521" i="6"/>
  <c r="AN521" i="6"/>
  <c r="AE521" i="6"/>
  <c r="M521" i="6"/>
  <c r="AW520" i="6"/>
  <c r="AN520" i="6"/>
  <c r="AE520" i="6"/>
  <c r="M520" i="6"/>
  <c r="AW519" i="6"/>
  <c r="AN519" i="6"/>
  <c r="AE519" i="6"/>
  <c r="M519" i="6"/>
  <c r="AW518" i="6"/>
  <c r="AN518" i="6"/>
  <c r="AE518" i="6"/>
  <c r="M518" i="6"/>
  <c r="AW517" i="6"/>
  <c r="AN517" i="6"/>
  <c r="AE517" i="6"/>
  <c r="M517" i="6"/>
  <c r="AW516" i="6"/>
  <c r="AN516" i="6"/>
  <c r="AE516" i="6"/>
  <c r="M516" i="6"/>
  <c r="AW515" i="6"/>
  <c r="AN515" i="6"/>
  <c r="AE515" i="6"/>
  <c r="M515" i="6"/>
  <c r="AW514" i="6"/>
  <c r="AN514" i="6"/>
  <c r="AE514" i="6"/>
  <c r="M514" i="6"/>
  <c r="AW513" i="6"/>
  <c r="AN513" i="6"/>
  <c r="AE513" i="6"/>
  <c r="M513" i="6"/>
  <c r="AW512" i="6"/>
  <c r="AN512" i="6"/>
  <c r="AE512" i="6"/>
  <c r="M512" i="6"/>
  <c r="AW511" i="6"/>
  <c r="AN511" i="6"/>
  <c r="AE511" i="6"/>
  <c r="M511" i="6"/>
  <c r="AW510" i="6"/>
  <c r="AN510" i="6"/>
  <c r="AE510" i="6"/>
  <c r="M510" i="6"/>
  <c r="AW509" i="6"/>
  <c r="AN509" i="6"/>
  <c r="AE509" i="6"/>
  <c r="M509" i="6"/>
  <c r="AW508" i="6"/>
  <c r="AN508" i="6"/>
  <c r="AE508" i="6"/>
  <c r="M508" i="6"/>
  <c r="AW507" i="6"/>
  <c r="AN507" i="6"/>
  <c r="AE507" i="6"/>
  <c r="M507" i="6"/>
  <c r="AW506" i="6"/>
  <c r="AN506" i="6"/>
  <c r="AE506" i="6"/>
  <c r="M506" i="6"/>
  <c r="AW505" i="6"/>
  <c r="AN505" i="6"/>
  <c r="AE505" i="6"/>
  <c r="M505" i="6"/>
  <c r="AW504" i="6"/>
  <c r="AN504" i="6"/>
  <c r="AE504" i="6"/>
  <c r="M504" i="6"/>
  <c r="AW503" i="6"/>
  <c r="AN503" i="6"/>
  <c r="AE503" i="6"/>
  <c r="M503" i="6"/>
  <c r="AW502" i="6"/>
  <c r="AN502" i="6"/>
  <c r="AE502" i="6"/>
  <c r="M502" i="6"/>
  <c r="AW501" i="6"/>
  <c r="AN501" i="6"/>
  <c r="AE501" i="6"/>
  <c r="M501" i="6"/>
  <c r="AW500" i="6"/>
  <c r="AN500" i="6"/>
  <c r="AE500" i="6"/>
  <c r="M500" i="6"/>
  <c r="AW499" i="6"/>
  <c r="AN499" i="6"/>
  <c r="AE499" i="6"/>
  <c r="M499" i="6"/>
  <c r="AW498" i="6"/>
  <c r="AN498" i="6"/>
  <c r="AE498" i="6"/>
  <c r="M498" i="6"/>
  <c r="AW497" i="6"/>
  <c r="AN497" i="6"/>
  <c r="AE497" i="6"/>
  <c r="M497" i="6"/>
  <c r="AW496" i="6"/>
  <c r="AN496" i="6"/>
  <c r="AE496" i="6"/>
  <c r="M496" i="6"/>
  <c r="AW495" i="6"/>
  <c r="AN495" i="6"/>
  <c r="AE495" i="6"/>
  <c r="M495" i="6"/>
  <c r="AW494" i="6"/>
  <c r="AN494" i="6"/>
  <c r="AE494" i="6"/>
  <c r="M494" i="6"/>
  <c r="AW493" i="6"/>
  <c r="AN493" i="6"/>
  <c r="AE493" i="6"/>
  <c r="M493" i="6"/>
  <c r="AW492" i="6"/>
  <c r="AN492" i="6"/>
  <c r="AE492" i="6"/>
  <c r="M492" i="6"/>
  <c r="AW491" i="6"/>
  <c r="AN491" i="6"/>
  <c r="AE491" i="6"/>
  <c r="M491" i="6"/>
  <c r="AW490" i="6"/>
  <c r="AN490" i="6"/>
  <c r="AE490" i="6"/>
  <c r="M490" i="6"/>
  <c r="AW489" i="6"/>
  <c r="AN489" i="6"/>
  <c r="AE489" i="6"/>
  <c r="M489" i="6"/>
  <c r="AW488" i="6"/>
  <c r="AN488" i="6"/>
  <c r="AE488" i="6"/>
  <c r="M488" i="6"/>
  <c r="AW487" i="6"/>
  <c r="AN487" i="6"/>
  <c r="AE487" i="6"/>
  <c r="M487" i="6"/>
  <c r="AW486" i="6"/>
  <c r="AN486" i="6"/>
  <c r="AE486" i="6"/>
  <c r="M486" i="6"/>
  <c r="AW485" i="6"/>
  <c r="AN485" i="6"/>
  <c r="AE485" i="6"/>
  <c r="M485" i="6"/>
  <c r="AW484" i="6"/>
  <c r="AN484" i="6"/>
  <c r="AE484" i="6"/>
  <c r="M484" i="6"/>
  <c r="AW483" i="6"/>
  <c r="AN483" i="6"/>
  <c r="AE483" i="6"/>
  <c r="M483" i="6"/>
  <c r="AW482" i="6"/>
  <c r="AN482" i="6"/>
  <c r="AE482" i="6"/>
  <c r="M482" i="6"/>
  <c r="AW481" i="6"/>
  <c r="AN481" i="6"/>
  <c r="AE481" i="6"/>
  <c r="M481" i="6"/>
  <c r="AW480" i="6"/>
  <c r="AN480" i="6"/>
  <c r="AE480" i="6"/>
  <c r="M480" i="6"/>
  <c r="AW479" i="6"/>
  <c r="AN479" i="6"/>
  <c r="AE479" i="6"/>
  <c r="M479" i="6"/>
  <c r="AW478" i="6"/>
  <c r="AN478" i="6"/>
  <c r="AE478" i="6"/>
  <c r="M478" i="6"/>
  <c r="AW477" i="6"/>
  <c r="AN477" i="6"/>
  <c r="AE477" i="6"/>
  <c r="M477" i="6"/>
  <c r="AW476" i="6"/>
  <c r="AN476" i="6"/>
  <c r="AE476" i="6"/>
  <c r="M476" i="6"/>
  <c r="AW475" i="6"/>
  <c r="AN475" i="6"/>
  <c r="AE475" i="6"/>
  <c r="M475" i="6"/>
  <c r="AW474" i="6"/>
  <c r="AN474" i="6"/>
  <c r="AE474" i="6"/>
  <c r="M474" i="6"/>
  <c r="AW473" i="6"/>
  <c r="AN473" i="6"/>
  <c r="AE473" i="6"/>
  <c r="M473" i="6"/>
  <c r="AW472" i="6"/>
  <c r="AN472" i="6"/>
  <c r="AE472" i="6"/>
  <c r="M472" i="6"/>
  <c r="AW471" i="6"/>
  <c r="AN471" i="6"/>
  <c r="AE471" i="6"/>
  <c r="M471" i="6"/>
  <c r="AW470" i="6"/>
  <c r="AN470" i="6"/>
  <c r="AE470" i="6"/>
  <c r="M470" i="6"/>
  <c r="AW469" i="6"/>
  <c r="AN469" i="6"/>
  <c r="AE469" i="6"/>
  <c r="M469" i="6"/>
  <c r="AW468" i="6"/>
  <c r="AN468" i="6"/>
  <c r="AE468" i="6"/>
  <c r="M468" i="6"/>
  <c r="AW467" i="6"/>
  <c r="AN467" i="6"/>
  <c r="AE467" i="6"/>
  <c r="M467" i="6"/>
  <c r="AW466" i="6"/>
  <c r="AN466" i="6"/>
  <c r="AE466" i="6"/>
  <c r="M466" i="6"/>
  <c r="AW465" i="6"/>
  <c r="AN465" i="6"/>
  <c r="AE465" i="6"/>
  <c r="M465" i="6"/>
  <c r="AW464" i="6"/>
  <c r="AN464" i="6"/>
  <c r="AE464" i="6"/>
  <c r="M464" i="6"/>
  <c r="AW463" i="6"/>
  <c r="AN463" i="6"/>
  <c r="AE463" i="6"/>
  <c r="M463" i="6"/>
  <c r="AW462" i="6"/>
  <c r="AN462" i="6"/>
  <c r="AE462" i="6"/>
  <c r="M462" i="6"/>
  <c r="AW461" i="6"/>
  <c r="AN461" i="6"/>
  <c r="AE461" i="6"/>
  <c r="M461" i="6"/>
  <c r="AW460" i="6"/>
  <c r="AN460" i="6"/>
  <c r="AE460" i="6"/>
  <c r="M460" i="6"/>
  <c r="AW459" i="6"/>
  <c r="AN459" i="6"/>
  <c r="AE459" i="6"/>
  <c r="M459" i="6"/>
  <c r="AW458" i="6"/>
  <c r="AN458" i="6"/>
  <c r="AE458" i="6"/>
  <c r="M458" i="6"/>
  <c r="AW457" i="6"/>
  <c r="AN457" i="6"/>
  <c r="AE457" i="6"/>
  <c r="M457" i="6"/>
  <c r="AW456" i="6"/>
  <c r="AN456" i="6"/>
  <c r="AE456" i="6"/>
  <c r="M456" i="6"/>
  <c r="AW455" i="6"/>
  <c r="AN455" i="6"/>
  <c r="AE455" i="6"/>
  <c r="M455" i="6"/>
  <c r="AW454" i="6"/>
  <c r="AN454" i="6"/>
  <c r="AE454" i="6"/>
  <c r="M454" i="6"/>
  <c r="AW453" i="6"/>
  <c r="AN453" i="6"/>
  <c r="AE453" i="6"/>
  <c r="M453" i="6"/>
  <c r="AW452" i="6"/>
  <c r="AN452" i="6"/>
  <c r="AE452" i="6"/>
  <c r="M452" i="6"/>
  <c r="AW451" i="6"/>
  <c r="AN451" i="6"/>
  <c r="AE451" i="6"/>
  <c r="M451" i="6"/>
  <c r="AW450" i="6"/>
  <c r="AN450" i="6"/>
  <c r="AE450" i="6"/>
  <c r="M450" i="6"/>
  <c r="AW449" i="6"/>
  <c r="AN449" i="6"/>
  <c r="AE449" i="6"/>
  <c r="M449" i="6"/>
  <c r="AW448" i="6"/>
  <c r="AN448" i="6"/>
  <c r="AE448" i="6"/>
  <c r="M448" i="6"/>
  <c r="AW447" i="6"/>
  <c r="AN447" i="6"/>
  <c r="AE447" i="6"/>
  <c r="M447" i="6"/>
  <c r="AW446" i="6"/>
  <c r="AN446" i="6"/>
  <c r="AE446" i="6"/>
  <c r="M446" i="6"/>
  <c r="AW445" i="6"/>
  <c r="AN445" i="6"/>
  <c r="AE445" i="6"/>
  <c r="M445" i="6"/>
  <c r="AW444" i="6"/>
  <c r="AN444" i="6"/>
  <c r="AE444" i="6"/>
  <c r="M444" i="6"/>
  <c r="AW443" i="6"/>
  <c r="AN443" i="6"/>
  <c r="AE443" i="6"/>
  <c r="M443" i="6"/>
  <c r="AW442" i="6"/>
  <c r="AN442" i="6"/>
  <c r="AE442" i="6"/>
  <c r="M442" i="6"/>
  <c r="AW441" i="6"/>
  <c r="AN441" i="6"/>
  <c r="AE441" i="6"/>
  <c r="M441" i="6"/>
  <c r="AW440" i="6"/>
  <c r="AN440" i="6"/>
  <c r="AE440" i="6"/>
  <c r="M440" i="6"/>
  <c r="AW439" i="6"/>
  <c r="AN439" i="6"/>
  <c r="AE439" i="6"/>
  <c r="M439" i="6"/>
  <c r="AW438" i="6"/>
  <c r="AN438" i="6"/>
  <c r="AE438" i="6"/>
  <c r="M438" i="6"/>
  <c r="AW437" i="6"/>
  <c r="AN437" i="6"/>
  <c r="AE437" i="6"/>
  <c r="M437" i="6"/>
  <c r="AW436" i="6"/>
  <c r="AN436" i="6"/>
  <c r="AE436" i="6"/>
  <c r="M436" i="6"/>
  <c r="AW435" i="6"/>
  <c r="AN435" i="6"/>
  <c r="AE435" i="6"/>
  <c r="M435" i="6"/>
  <c r="AW434" i="6"/>
  <c r="AN434" i="6"/>
  <c r="AE434" i="6"/>
  <c r="M434" i="6"/>
  <c r="AW433" i="6"/>
  <c r="AN433" i="6"/>
  <c r="AE433" i="6"/>
  <c r="M433" i="6"/>
  <c r="AW432" i="6"/>
  <c r="AN432" i="6"/>
  <c r="AE432" i="6"/>
  <c r="M432" i="6"/>
  <c r="AW431" i="6"/>
  <c r="AN431" i="6"/>
  <c r="AE431" i="6"/>
  <c r="M431" i="6"/>
  <c r="AW430" i="6"/>
  <c r="AN430" i="6"/>
  <c r="AE430" i="6"/>
  <c r="M430" i="6"/>
  <c r="AW429" i="6"/>
  <c r="AN429" i="6"/>
  <c r="AE429" i="6"/>
  <c r="M429" i="6"/>
  <c r="AW428" i="6"/>
  <c r="AN428" i="6"/>
  <c r="AE428" i="6"/>
  <c r="M428" i="6"/>
  <c r="AW427" i="6"/>
  <c r="AN427" i="6"/>
  <c r="AE427" i="6"/>
  <c r="M427" i="6"/>
  <c r="AW426" i="6"/>
  <c r="AN426" i="6"/>
  <c r="AE426" i="6"/>
  <c r="M426" i="6"/>
  <c r="AW425" i="6"/>
  <c r="AN425" i="6"/>
  <c r="AE425" i="6"/>
  <c r="M425" i="6"/>
  <c r="AW424" i="6"/>
  <c r="AN424" i="6"/>
  <c r="AE424" i="6"/>
  <c r="M424" i="6"/>
  <c r="AW423" i="6"/>
  <c r="AN423" i="6"/>
  <c r="AE423" i="6"/>
  <c r="M423" i="6"/>
  <c r="AW422" i="6"/>
  <c r="AN422" i="6"/>
  <c r="AE422" i="6"/>
  <c r="M422" i="6"/>
  <c r="AW421" i="6"/>
  <c r="AN421" i="6"/>
  <c r="AE421" i="6"/>
  <c r="M421" i="6"/>
  <c r="AW420" i="6"/>
  <c r="AN420" i="6"/>
  <c r="AE420" i="6"/>
  <c r="M420" i="6"/>
  <c r="AW419" i="6"/>
  <c r="AN419" i="6"/>
  <c r="AE419" i="6"/>
  <c r="M419" i="6"/>
  <c r="AW418" i="6"/>
  <c r="AN418" i="6"/>
  <c r="AE418" i="6"/>
  <c r="M418" i="6"/>
  <c r="AW417" i="6"/>
  <c r="AN417" i="6"/>
  <c r="AE417" i="6"/>
  <c r="M417" i="6"/>
  <c r="AW416" i="6"/>
  <c r="AN416" i="6"/>
  <c r="AE416" i="6"/>
  <c r="M416" i="6"/>
  <c r="AW415" i="6"/>
  <c r="AN415" i="6"/>
  <c r="AE415" i="6"/>
  <c r="M415" i="6"/>
  <c r="AW414" i="6"/>
  <c r="AN414" i="6"/>
  <c r="AE414" i="6"/>
  <c r="M414" i="6"/>
  <c r="AW413" i="6"/>
  <c r="AN413" i="6"/>
  <c r="AE413" i="6"/>
  <c r="M413" i="6"/>
  <c r="AW412" i="6"/>
  <c r="AN412" i="6"/>
  <c r="AE412" i="6"/>
  <c r="M412" i="6"/>
  <c r="AW411" i="6"/>
  <c r="AN411" i="6"/>
  <c r="AE411" i="6"/>
  <c r="M411" i="6"/>
  <c r="AW410" i="6"/>
  <c r="AN410" i="6"/>
  <c r="AE410" i="6"/>
  <c r="M410" i="6"/>
  <c r="AW409" i="6"/>
  <c r="AN409" i="6"/>
  <c r="AE409" i="6"/>
  <c r="M409" i="6"/>
  <c r="AW408" i="6"/>
  <c r="AN408" i="6"/>
  <c r="AE408" i="6"/>
  <c r="M408" i="6"/>
  <c r="AW407" i="6"/>
  <c r="AN407" i="6"/>
  <c r="AE407" i="6"/>
  <c r="M407" i="6"/>
  <c r="AW406" i="6"/>
  <c r="AN406" i="6"/>
  <c r="AE406" i="6"/>
  <c r="M406" i="6"/>
  <c r="AW405" i="6"/>
  <c r="AN405" i="6"/>
  <c r="AE405" i="6"/>
  <c r="M405" i="6"/>
  <c r="AW404" i="6"/>
  <c r="AN404" i="6"/>
  <c r="AE404" i="6"/>
  <c r="M404" i="6"/>
  <c r="AW403" i="6"/>
  <c r="AN403" i="6"/>
  <c r="AE403" i="6"/>
  <c r="M403" i="6"/>
  <c r="AW402" i="6"/>
  <c r="AN402" i="6"/>
  <c r="AE402" i="6"/>
  <c r="M402" i="6"/>
  <c r="AW401" i="6"/>
  <c r="AN401" i="6"/>
  <c r="AE401" i="6"/>
  <c r="M401" i="6"/>
  <c r="AW400" i="6"/>
  <c r="AN400" i="6"/>
  <c r="AE400" i="6"/>
  <c r="M400" i="6"/>
  <c r="AW399" i="6"/>
  <c r="AN399" i="6"/>
  <c r="AE399" i="6"/>
  <c r="M399" i="6"/>
  <c r="AW398" i="6"/>
  <c r="AN398" i="6"/>
  <c r="AE398" i="6"/>
  <c r="M398" i="6"/>
  <c r="AW397" i="6"/>
  <c r="AN397" i="6"/>
  <c r="AE397" i="6"/>
  <c r="M397" i="6"/>
  <c r="AW396" i="6"/>
  <c r="AN396" i="6"/>
  <c r="AE396" i="6"/>
  <c r="M396" i="6"/>
  <c r="AW395" i="6"/>
  <c r="AN395" i="6"/>
  <c r="AE395" i="6"/>
  <c r="M395" i="6"/>
  <c r="AW394" i="6"/>
  <c r="AN394" i="6"/>
  <c r="AE394" i="6"/>
  <c r="M394" i="6"/>
  <c r="AW393" i="6"/>
  <c r="AN393" i="6"/>
  <c r="AE393" i="6"/>
  <c r="M393" i="6"/>
  <c r="AW392" i="6"/>
  <c r="AN392" i="6"/>
  <c r="AE392" i="6"/>
  <c r="M392" i="6"/>
  <c r="AW391" i="6"/>
  <c r="AN391" i="6"/>
  <c r="AE391" i="6"/>
  <c r="M391" i="6"/>
  <c r="AW390" i="6"/>
  <c r="AN390" i="6"/>
  <c r="AE390" i="6"/>
  <c r="M390" i="6"/>
  <c r="AW389" i="6"/>
  <c r="AN389" i="6"/>
  <c r="AE389" i="6"/>
  <c r="M389" i="6"/>
  <c r="AW388" i="6"/>
  <c r="AN388" i="6"/>
  <c r="AE388" i="6"/>
  <c r="M388" i="6"/>
  <c r="AW387" i="6"/>
  <c r="AN387" i="6"/>
  <c r="AE387" i="6"/>
  <c r="M387" i="6"/>
  <c r="AW386" i="6"/>
  <c r="AN386" i="6"/>
  <c r="AE386" i="6"/>
  <c r="M386" i="6"/>
  <c r="AW385" i="6"/>
  <c r="AN385" i="6"/>
  <c r="AE385" i="6"/>
  <c r="M385" i="6"/>
  <c r="AW384" i="6"/>
  <c r="AN384" i="6"/>
  <c r="AE384" i="6"/>
  <c r="M384" i="6"/>
  <c r="AW383" i="6"/>
  <c r="AN383" i="6"/>
  <c r="AE383" i="6"/>
  <c r="M383" i="6"/>
  <c r="AW382" i="6"/>
  <c r="AN382" i="6"/>
  <c r="AE382" i="6"/>
  <c r="M382" i="6"/>
  <c r="AW381" i="6"/>
  <c r="AN381" i="6"/>
  <c r="AE381" i="6"/>
  <c r="M381" i="6"/>
  <c r="AW380" i="6"/>
  <c r="AN380" i="6"/>
  <c r="AE380" i="6"/>
  <c r="M380" i="6"/>
  <c r="AW379" i="6"/>
  <c r="AN379" i="6"/>
  <c r="AE379" i="6"/>
  <c r="M379" i="6"/>
  <c r="AW378" i="6"/>
  <c r="AN378" i="6"/>
  <c r="AE378" i="6"/>
  <c r="M378" i="6"/>
  <c r="AW377" i="6"/>
  <c r="AN377" i="6"/>
  <c r="AE377" i="6"/>
  <c r="M377" i="6"/>
  <c r="AW376" i="6"/>
  <c r="AN376" i="6"/>
  <c r="AE376" i="6"/>
  <c r="M376" i="6"/>
  <c r="AW375" i="6"/>
  <c r="AN375" i="6"/>
  <c r="AE375" i="6"/>
  <c r="M375" i="6"/>
  <c r="AW374" i="6"/>
  <c r="AN374" i="6"/>
  <c r="AE374" i="6"/>
  <c r="M374" i="6"/>
  <c r="AW373" i="6"/>
  <c r="AN373" i="6"/>
  <c r="AE373" i="6"/>
  <c r="M373" i="6"/>
  <c r="AW372" i="6"/>
  <c r="AN372" i="6"/>
  <c r="AE372" i="6"/>
  <c r="M372" i="6"/>
  <c r="AW371" i="6"/>
  <c r="AN371" i="6"/>
  <c r="AE371" i="6"/>
  <c r="M371" i="6"/>
  <c r="AW370" i="6"/>
  <c r="AN370" i="6"/>
  <c r="AE370" i="6"/>
  <c r="M370" i="6"/>
  <c r="AW369" i="6"/>
  <c r="AN369" i="6"/>
  <c r="AE369" i="6"/>
  <c r="M369" i="6"/>
  <c r="AW368" i="6"/>
  <c r="AN368" i="6"/>
  <c r="AE368" i="6"/>
  <c r="M368" i="6"/>
  <c r="AW367" i="6"/>
  <c r="AN367" i="6"/>
  <c r="AE367" i="6"/>
  <c r="M367" i="6"/>
  <c r="AW366" i="6"/>
  <c r="AN366" i="6"/>
  <c r="AE366" i="6"/>
  <c r="M366" i="6"/>
  <c r="AW365" i="6"/>
  <c r="AN365" i="6"/>
  <c r="AE365" i="6"/>
  <c r="M365" i="6"/>
  <c r="AW364" i="6"/>
  <c r="AN364" i="6"/>
  <c r="AE364" i="6"/>
  <c r="M364" i="6"/>
  <c r="AW363" i="6"/>
  <c r="AN363" i="6"/>
  <c r="AE363" i="6"/>
  <c r="M363" i="6"/>
  <c r="AW362" i="6"/>
  <c r="AN362" i="6"/>
  <c r="AE362" i="6"/>
  <c r="M362" i="6"/>
  <c r="AW361" i="6"/>
  <c r="AN361" i="6"/>
  <c r="AE361" i="6"/>
  <c r="M361" i="6"/>
  <c r="AW360" i="6"/>
  <c r="AN360" i="6"/>
  <c r="AE360" i="6"/>
  <c r="M360" i="6"/>
  <c r="AW359" i="6"/>
  <c r="AN359" i="6"/>
  <c r="AE359" i="6"/>
  <c r="M359" i="6"/>
  <c r="AW358" i="6"/>
  <c r="AN358" i="6"/>
  <c r="AE358" i="6"/>
  <c r="M358" i="6"/>
  <c r="AW357" i="6"/>
  <c r="AN357" i="6"/>
  <c r="AE357" i="6"/>
  <c r="M357" i="6"/>
  <c r="AW356" i="6"/>
  <c r="AN356" i="6"/>
  <c r="AE356" i="6"/>
  <c r="M356" i="6"/>
  <c r="AW355" i="6"/>
  <c r="AN355" i="6"/>
  <c r="AE355" i="6"/>
  <c r="M355" i="6"/>
  <c r="AW354" i="6"/>
  <c r="AN354" i="6"/>
  <c r="AE354" i="6"/>
  <c r="M354" i="6"/>
  <c r="AW353" i="6"/>
  <c r="AN353" i="6"/>
  <c r="AE353" i="6"/>
  <c r="M353" i="6"/>
  <c r="AW352" i="6"/>
  <c r="AN352" i="6"/>
  <c r="AE352" i="6"/>
  <c r="M352" i="6"/>
  <c r="AW351" i="6"/>
  <c r="AN351" i="6"/>
  <c r="AE351" i="6"/>
  <c r="M351" i="6"/>
  <c r="AW350" i="6"/>
  <c r="AN350" i="6"/>
  <c r="AE350" i="6"/>
  <c r="M350" i="6"/>
  <c r="AW349" i="6"/>
  <c r="AN349" i="6"/>
  <c r="AE349" i="6"/>
  <c r="M349" i="6"/>
  <c r="AW348" i="6"/>
  <c r="AN348" i="6"/>
  <c r="AE348" i="6"/>
  <c r="M348" i="6"/>
  <c r="AW347" i="6"/>
  <c r="AN347" i="6"/>
  <c r="AE347" i="6"/>
  <c r="M347" i="6"/>
  <c r="AW346" i="6"/>
  <c r="AN346" i="6"/>
  <c r="AE346" i="6"/>
  <c r="M346" i="6"/>
  <c r="AW345" i="6"/>
  <c r="AN345" i="6"/>
  <c r="AE345" i="6"/>
  <c r="M345" i="6"/>
  <c r="AW344" i="6"/>
  <c r="AN344" i="6"/>
  <c r="AE344" i="6"/>
  <c r="M344" i="6"/>
  <c r="AW343" i="6"/>
  <c r="AN343" i="6"/>
  <c r="AE343" i="6"/>
  <c r="M343" i="6"/>
  <c r="AW342" i="6"/>
  <c r="AN342" i="6"/>
  <c r="AE342" i="6"/>
  <c r="M342" i="6"/>
  <c r="AW341" i="6"/>
  <c r="AN341" i="6"/>
  <c r="AE341" i="6"/>
  <c r="M341" i="6"/>
  <c r="AW340" i="6"/>
  <c r="AN340" i="6"/>
  <c r="AE340" i="6"/>
  <c r="M340" i="6"/>
  <c r="AW339" i="6"/>
  <c r="AN339" i="6"/>
  <c r="AE339" i="6"/>
  <c r="M339" i="6"/>
  <c r="AW338" i="6"/>
  <c r="AN338" i="6"/>
  <c r="AE338" i="6"/>
  <c r="M338" i="6"/>
  <c r="AW337" i="6"/>
  <c r="AN337" i="6"/>
  <c r="AE337" i="6"/>
  <c r="M337" i="6"/>
  <c r="AW336" i="6"/>
  <c r="AN336" i="6"/>
  <c r="AE336" i="6"/>
  <c r="M336" i="6"/>
  <c r="AW335" i="6"/>
  <c r="AN335" i="6"/>
  <c r="AE335" i="6"/>
  <c r="M335" i="6"/>
  <c r="AW334" i="6"/>
  <c r="AN334" i="6"/>
  <c r="AE334" i="6"/>
  <c r="M334" i="6"/>
  <c r="AW333" i="6"/>
  <c r="AN333" i="6"/>
  <c r="AE333" i="6"/>
  <c r="M333" i="6"/>
  <c r="AW332" i="6"/>
  <c r="AN332" i="6"/>
  <c r="AE332" i="6"/>
  <c r="M332" i="6"/>
  <c r="AW331" i="6"/>
  <c r="AN331" i="6"/>
  <c r="AE331" i="6"/>
  <c r="M331" i="6"/>
  <c r="AW330" i="6"/>
  <c r="AN330" i="6"/>
  <c r="AE330" i="6"/>
  <c r="M330" i="6"/>
  <c r="AW329" i="6"/>
  <c r="AN329" i="6"/>
  <c r="AE329" i="6"/>
  <c r="M329" i="6"/>
  <c r="AW328" i="6"/>
  <c r="AN328" i="6"/>
  <c r="AE328" i="6"/>
  <c r="M328" i="6"/>
  <c r="AW327" i="6"/>
  <c r="AN327" i="6"/>
  <c r="AE327" i="6"/>
  <c r="M327" i="6"/>
  <c r="AW326" i="6"/>
  <c r="AN326" i="6"/>
  <c r="AE326" i="6"/>
  <c r="M326" i="6"/>
  <c r="AW325" i="6"/>
  <c r="AN325" i="6"/>
  <c r="AE325" i="6"/>
  <c r="M325" i="6"/>
  <c r="AW324" i="6"/>
  <c r="AN324" i="6"/>
  <c r="AE324" i="6"/>
  <c r="M324" i="6"/>
  <c r="AW323" i="6"/>
  <c r="AN323" i="6"/>
  <c r="AE323" i="6"/>
  <c r="M323" i="6"/>
  <c r="AW322" i="6"/>
  <c r="AN322" i="6"/>
  <c r="AE322" i="6"/>
  <c r="M322" i="6"/>
  <c r="AW321" i="6"/>
  <c r="AN321" i="6"/>
  <c r="AE321" i="6"/>
  <c r="M321" i="6"/>
  <c r="AW320" i="6"/>
  <c r="AN320" i="6"/>
  <c r="AE320" i="6"/>
  <c r="M320" i="6"/>
  <c r="AW319" i="6"/>
  <c r="AN319" i="6"/>
  <c r="AE319" i="6"/>
  <c r="M319" i="6"/>
  <c r="AW318" i="6"/>
  <c r="AN318" i="6"/>
  <c r="AE318" i="6"/>
  <c r="M318" i="6"/>
  <c r="AW317" i="6"/>
  <c r="AN317" i="6"/>
  <c r="AE317" i="6"/>
  <c r="M317" i="6"/>
  <c r="AW316" i="6"/>
  <c r="AN316" i="6"/>
  <c r="AE316" i="6"/>
  <c r="M316" i="6"/>
  <c r="AW315" i="6"/>
  <c r="AN315" i="6"/>
  <c r="AE315" i="6"/>
  <c r="M315" i="6"/>
  <c r="AW314" i="6"/>
  <c r="AN314" i="6"/>
  <c r="AE314" i="6"/>
  <c r="M314" i="6"/>
  <c r="AW313" i="6"/>
  <c r="AN313" i="6"/>
  <c r="AE313" i="6"/>
  <c r="M313" i="6"/>
  <c r="AW312" i="6"/>
  <c r="AN312" i="6"/>
  <c r="AE312" i="6"/>
  <c r="M312" i="6"/>
  <c r="AW311" i="6"/>
  <c r="AN311" i="6"/>
  <c r="AE311" i="6"/>
  <c r="M311" i="6"/>
  <c r="AW310" i="6"/>
  <c r="AN310" i="6"/>
  <c r="AE310" i="6"/>
  <c r="M310" i="6"/>
  <c r="AW309" i="6"/>
  <c r="AN309" i="6"/>
  <c r="AE309" i="6"/>
  <c r="M309" i="6"/>
  <c r="AW308" i="6"/>
  <c r="AN308" i="6"/>
  <c r="AE308" i="6"/>
  <c r="M308" i="6"/>
  <c r="AW307" i="6"/>
  <c r="AN307" i="6"/>
  <c r="AE307" i="6"/>
  <c r="M307" i="6"/>
  <c r="AW306" i="6"/>
  <c r="AN306" i="6"/>
  <c r="AE306" i="6"/>
  <c r="M306" i="6"/>
  <c r="AW305" i="6"/>
  <c r="AN305" i="6"/>
  <c r="AE305" i="6"/>
  <c r="M305" i="6"/>
  <c r="AW304" i="6"/>
  <c r="AN304" i="6"/>
  <c r="AE304" i="6"/>
  <c r="M304" i="6"/>
  <c r="AW303" i="6"/>
  <c r="AN303" i="6"/>
  <c r="AE303" i="6"/>
  <c r="M303" i="6"/>
  <c r="AW302" i="6"/>
  <c r="AN302" i="6"/>
  <c r="AE302" i="6"/>
  <c r="M302" i="6"/>
  <c r="AW301" i="6"/>
  <c r="AN301" i="6"/>
  <c r="AE301" i="6"/>
  <c r="M301" i="6"/>
  <c r="AW300" i="6"/>
  <c r="AN300" i="6"/>
  <c r="AE300" i="6"/>
  <c r="M300" i="6"/>
  <c r="AW299" i="6"/>
  <c r="AN299" i="6"/>
  <c r="AE299" i="6"/>
  <c r="M299" i="6"/>
  <c r="AW298" i="6"/>
  <c r="AN298" i="6"/>
  <c r="AE298" i="6"/>
  <c r="M298" i="6"/>
  <c r="AW297" i="6"/>
  <c r="AN297" i="6"/>
  <c r="AE297" i="6"/>
  <c r="M297" i="6"/>
  <c r="AW296" i="6"/>
  <c r="AN296" i="6"/>
  <c r="AE296" i="6"/>
  <c r="M296" i="6"/>
  <c r="AW295" i="6"/>
  <c r="AN295" i="6"/>
  <c r="AE295" i="6"/>
  <c r="M295" i="6"/>
  <c r="AW294" i="6"/>
  <c r="AN294" i="6"/>
  <c r="AE294" i="6"/>
  <c r="M294" i="6"/>
  <c r="AW293" i="6"/>
  <c r="AN293" i="6"/>
  <c r="AE293" i="6"/>
  <c r="M293" i="6"/>
  <c r="AW292" i="6"/>
  <c r="AN292" i="6"/>
  <c r="AE292" i="6"/>
  <c r="M292" i="6"/>
  <c r="AW291" i="6"/>
  <c r="AN291" i="6"/>
  <c r="AE291" i="6"/>
  <c r="M291" i="6"/>
  <c r="AW290" i="6"/>
  <c r="AN290" i="6"/>
  <c r="AE290" i="6"/>
  <c r="M290" i="6"/>
  <c r="AW289" i="6"/>
  <c r="AN289" i="6"/>
  <c r="AE289" i="6"/>
  <c r="M289" i="6"/>
  <c r="AW288" i="6"/>
  <c r="AN288" i="6"/>
  <c r="AE288" i="6"/>
  <c r="M288" i="6"/>
  <c r="AW287" i="6"/>
  <c r="AN287" i="6"/>
  <c r="AE287" i="6"/>
  <c r="M287" i="6"/>
  <c r="AW286" i="6"/>
  <c r="AN286" i="6"/>
  <c r="AE286" i="6"/>
  <c r="M286" i="6"/>
  <c r="AW285" i="6"/>
  <c r="AN285" i="6"/>
  <c r="AE285" i="6"/>
  <c r="M285" i="6"/>
  <c r="AW284" i="6"/>
  <c r="AN284" i="6"/>
  <c r="AE284" i="6"/>
  <c r="M284" i="6"/>
  <c r="AW283" i="6"/>
  <c r="AN283" i="6"/>
  <c r="AE283" i="6"/>
  <c r="M283" i="6"/>
  <c r="AW282" i="6"/>
  <c r="AN282" i="6"/>
  <c r="AE282" i="6"/>
  <c r="M282" i="6"/>
  <c r="AW281" i="6"/>
  <c r="AN281" i="6"/>
  <c r="AE281" i="6"/>
  <c r="M281" i="6"/>
  <c r="AW280" i="6"/>
  <c r="AN280" i="6"/>
  <c r="AE280" i="6"/>
  <c r="M280" i="6"/>
  <c r="AW279" i="6"/>
  <c r="AN279" i="6"/>
  <c r="AE279" i="6"/>
  <c r="M279" i="6"/>
  <c r="AW278" i="6"/>
  <c r="AN278" i="6"/>
  <c r="AE278" i="6"/>
  <c r="M278" i="6"/>
  <c r="AW277" i="6"/>
  <c r="AN277" i="6"/>
  <c r="AE277" i="6"/>
  <c r="M277" i="6"/>
  <c r="AW276" i="6"/>
  <c r="AN276" i="6"/>
  <c r="AE276" i="6"/>
  <c r="M276" i="6"/>
  <c r="AW275" i="6"/>
  <c r="AN275" i="6"/>
  <c r="AE275" i="6"/>
  <c r="M275" i="6"/>
  <c r="AW274" i="6"/>
  <c r="AN274" i="6"/>
  <c r="AE274" i="6"/>
  <c r="M274" i="6"/>
  <c r="AW273" i="6"/>
  <c r="AN273" i="6"/>
  <c r="AE273" i="6"/>
  <c r="M273" i="6"/>
  <c r="AW272" i="6"/>
  <c r="AN272" i="6"/>
  <c r="AE272" i="6"/>
  <c r="M272" i="6"/>
  <c r="AW271" i="6"/>
  <c r="AN271" i="6"/>
  <c r="AE271" i="6"/>
  <c r="M271" i="6"/>
  <c r="AW270" i="6"/>
  <c r="AN270" i="6"/>
  <c r="AE270" i="6"/>
  <c r="M270" i="6"/>
  <c r="AW269" i="6"/>
  <c r="AN269" i="6"/>
  <c r="AE269" i="6"/>
  <c r="M269" i="6"/>
  <c r="AW268" i="6"/>
  <c r="AN268" i="6"/>
  <c r="AE268" i="6"/>
  <c r="M268" i="6"/>
  <c r="AW267" i="6"/>
  <c r="AN267" i="6"/>
  <c r="AE267" i="6"/>
  <c r="M267" i="6"/>
  <c r="AW266" i="6"/>
  <c r="AN266" i="6"/>
  <c r="AE266" i="6"/>
  <c r="M266" i="6"/>
  <c r="AW265" i="6"/>
  <c r="AN265" i="6"/>
  <c r="AE265" i="6"/>
  <c r="M265" i="6"/>
  <c r="AW264" i="6"/>
  <c r="AN264" i="6"/>
  <c r="AE264" i="6"/>
  <c r="M264" i="6"/>
  <c r="AW263" i="6"/>
  <c r="AN263" i="6"/>
  <c r="AE263" i="6"/>
  <c r="M263" i="6"/>
  <c r="AW262" i="6"/>
  <c r="AN262" i="6"/>
  <c r="AE262" i="6"/>
  <c r="M262" i="6"/>
  <c r="AW261" i="6"/>
  <c r="AN261" i="6"/>
  <c r="AE261" i="6"/>
  <c r="M261" i="6"/>
  <c r="AW260" i="6"/>
  <c r="AN260" i="6"/>
  <c r="AE260" i="6"/>
  <c r="M260" i="6"/>
  <c r="AW259" i="6"/>
  <c r="AN259" i="6"/>
  <c r="AE259" i="6"/>
  <c r="M259" i="6"/>
  <c r="AW258" i="6"/>
  <c r="AN258" i="6"/>
  <c r="AE258" i="6"/>
  <c r="M258" i="6"/>
  <c r="AW257" i="6"/>
  <c r="AN257" i="6"/>
  <c r="AE257" i="6"/>
  <c r="M257" i="6"/>
  <c r="AW256" i="6"/>
  <c r="AN256" i="6"/>
  <c r="AE256" i="6"/>
  <c r="M256" i="6"/>
  <c r="AW255" i="6"/>
  <c r="AN255" i="6"/>
  <c r="AE255" i="6"/>
  <c r="M255" i="6"/>
  <c r="AW254" i="6"/>
  <c r="AN254" i="6"/>
  <c r="AE254" i="6"/>
  <c r="M254" i="6"/>
  <c r="AW253" i="6"/>
  <c r="AN253" i="6"/>
  <c r="AE253" i="6"/>
  <c r="M253" i="6"/>
  <c r="AW252" i="6"/>
  <c r="AN252" i="6"/>
  <c r="AE252" i="6"/>
  <c r="M252" i="6"/>
  <c r="AW251" i="6"/>
  <c r="AN251" i="6"/>
  <c r="AE251" i="6"/>
  <c r="M251" i="6"/>
  <c r="AW250" i="6"/>
  <c r="AN250" i="6"/>
  <c r="AE250" i="6"/>
  <c r="M250" i="6"/>
  <c r="AW249" i="6"/>
  <c r="AN249" i="6"/>
  <c r="AE249" i="6"/>
  <c r="M249" i="6"/>
  <c r="AW248" i="6"/>
  <c r="AN248" i="6"/>
  <c r="AE248" i="6"/>
  <c r="M248" i="6"/>
  <c r="AW247" i="6"/>
  <c r="AN247" i="6"/>
  <c r="AE247" i="6"/>
  <c r="M247" i="6"/>
  <c r="AW246" i="6"/>
  <c r="AN246" i="6"/>
  <c r="AE246" i="6"/>
  <c r="M246" i="6"/>
  <c r="AW245" i="6"/>
  <c r="AN245" i="6"/>
  <c r="AE245" i="6"/>
  <c r="M245" i="6"/>
  <c r="AW244" i="6"/>
  <c r="AN244" i="6"/>
  <c r="AE244" i="6"/>
  <c r="M244" i="6"/>
  <c r="AW243" i="6"/>
  <c r="AN243" i="6"/>
  <c r="AE243" i="6"/>
  <c r="M243" i="6"/>
  <c r="AW242" i="6"/>
  <c r="AN242" i="6"/>
  <c r="AE242" i="6"/>
  <c r="M242" i="6"/>
  <c r="AW241" i="6"/>
  <c r="AN241" i="6"/>
  <c r="AE241" i="6"/>
  <c r="M241" i="6"/>
  <c r="AW240" i="6"/>
  <c r="AN240" i="6"/>
  <c r="AE240" i="6"/>
  <c r="M240" i="6"/>
  <c r="AW239" i="6"/>
  <c r="AN239" i="6"/>
  <c r="AE239" i="6"/>
  <c r="M239" i="6"/>
  <c r="AW238" i="6"/>
  <c r="AN238" i="6"/>
  <c r="AE238" i="6"/>
  <c r="M238" i="6"/>
  <c r="AW237" i="6"/>
  <c r="AN237" i="6"/>
  <c r="AE237" i="6"/>
  <c r="M237" i="6"/>
  <c r="AW236" i="6"/>
  <c r="AN236" i="6"/>
  <c r="AE236" i="6"/>
  <c r="M236" i="6"/>
  <c r="AW235" i="6"/>
  <c r="AN235" i="6"/>
  <c r="AE235" i="6"/>
  <c r="M235" i="6"/>
  <c r="AW234" i="6"/>
  <c r="AN234" i="6"/>
  <c r="AE234" i="6"/>
  <c r="M234" i="6"/>
  <c r="AW233" i="6"/>
  <c r="AN233" i="6"/>
  <c r="AE233" i="6"/>
  <c r="M233" i="6"/>
  <c r="AW232" i="6"/>
  <c r="AN232" i="6"/>
  <c r="AE232" i="6"/>
  <c r="M232" i="6"/>
  <c r="AW231" i="6"/>
  <c r="AN231" i="6"/>
  <c r="AE231" i="6"/>
  <c r="M231" i="6"/>
  <c r="AW230" i="6"/>
  <c r="AN230" i="6"/>
  <c r="AE230" i="6"/>
  <c r="M230" i="6"/>
  <c r="AW229" i="6"/>
  <c r="AN229" i="6"/>
  <c r="AE229" i="6"/>
  <c r="M229" i="6"/>
  <c r="AW228" i="6"/>
  <c r="AN228" i="6"/>
  <c r="AE228" i="6"/>
  <c r="M228" i="6"/>
  <c r="AW227" i="6"/>
  <c r="AN227" i="6"/>
  <c r="AE227" i="6"/>
  <c r="M227" i="6"/>
  <c r="AW226" i="6"/>
  <c r="AN226" i="6"/>
  <c r="AE226" i="6"/>
  <c r="M226" i="6"/>
  <c r="AW225" i="6"/>
  <c r="AN225" i="6"/>
  <c r="AE225" i="6"/>
  <c r="M225" i="6"/>
  <c r="AW224" i="6"/>
  <c r="AN224" i="6"/>
  <c r="AE224" i="6"/>
  <c r="M224" i="6"/>
  <c r="AW223" i="6"/>
  <c r="AN223" i="6"/>
  <c r="AE223" i="6"/>
  <c r="M223" i="6"/>
  <c r="AW222" i="6"/>
  <c r="AN222" i="6"/>
  <c r="AE222" i="6"/>
  <c r="M222" i="6"/>
  <c r="AW221" i="6"/>
  <c r="AN221" i="6"/>
  <c r="AE221" i="6"/>
  <c r="M221" i="6"/>
  <c r="AW220" i="6"/>
  <c r="AN220" i="6"/>
  <c r="AE220" i="6"/>
  <c r="M220" i="6"/>
  <c r="AW219" i="6"/>
  <c r="AN219" i="6"/>
  <c r="AE219" i="6"/>
  <c r="M219" i="6"/>
  <c r="AW218" i="6"/>
  <c r="AN218" i="6"/>
  <c r="AE218" i="6"/>
  <c r="M218" i="6"/>
  <c r="AW217" i="6"/>
  <c r="AN217" i="6"/>
  <c r="AE217" i="6"/>
  <c r="M217" i="6"/>
  <c r="AW216" i="6"/>
  <c r="AN216" i="6"/>
  <c r="AE216" i="6"/>
  <c r="M216" i="6"/>
  <c r="AW215" i="6"/>
  <c r="AN215" i="6"/>
  <c r="AE215" i="6"/>
  <c r="M215" i="6"/>
  <c r="AW214" i="6"/>
  <c r="AN214" i="6"/>
  <c r="AE214" i="6"/>
  <c r="M214" i="6"/>
  <c r="AW213" i="6"/>
  <c r="AN213" i="6"/>
  <c r="AE213" i="6"/>
  <c r="M213" i="6"/>
  <c r="AW212" i="6"/>
  <c r="AN212" i="6"/>
  <c r="AE212" i="6"/>
  <c r="M212" i="6"/>
  <c r="AW211" i="6"/>
  <c r="AN211" i="6"/>
  <c r="AE211" i="6"/>
  <c r="M211" i="6"/>
  <c r="AW210" i="6"/>
  <c r="AN210" i="6"/>
  <c r="AE210" i="6"/>
  <c r="M210" i="6"/>
  <c r="AW209" i="6"/>
  <c r="AN209" i="6"/>
  <c r="AE209" i="6"/>
  <c r="M209" i="6"/>
  <c r="AW208" i="6"/>
  <c r="AN208" i="6"/>
  <c r="AE208" i="6"/>
  <c r="M208" i="6"/>
  <c r="AW207" i="6"/>
  <c r="AN207" i="6"/>
  <c r="AE207" i="6"/>
  <c r="M207" i="6"/>
  <c r="AW206" i="6"/>
  <c r="AN206" i="6"/>
  <c r="AE206" i="6"/>
  <c r="M206" i="6"/>
  <c r="AW205" i="6"/>
  <c r="AN205" i="6"/>
  <c r="AE205" i="6"/>
  <c r="M205" i="6"/>
  <c r="AW204" i="6"/>
  <c r="AN204" i="6"/>
  <c r="AE204" i="6"/>
  <c r="M204" i="6"/>
  <c r="AW203" i="6"/>
  <c r="AN203" i="6"/>
  <c r="AE203" i="6"/>
  <c r="M203" i="6"/>
  <c r="AW202" i="6"/>
  <c r="AN202" i="6"/>
  <c r="AE202" i="6"/>
  <c r="M202" i="6"/>
  <c r="AW201" i="6"/>
  <c r="AN201" i="6"/>
  <c r="AE201" i="6"/>
  <c r="M201" i="6"/>
  <c r="AW200" i="6"/>
  <c r="AN200" i="6"/>
  <c r="AE200" i="6"/>
  <c r="M200" i="6"/>
  <c r="AW199" i="6"/>
  <c r="AN199" i="6"/>
  <c r="AE199" i="6"/>
  <c r="M199" i="6"/>
  <c r="AW198" i="6"/>
  <c r="AN198" i="6"/>
  <c r="AE198" i="6"/>
  <c r="M198" i="6"/>
  <c r="AW197" i="6"/>
  <c r="AN197" i="6"/>
  <c r="AE197" i="6"/>
  <c r="M197" i="6"/>
  <c r="AW196" i="6"/>
  <c r="AN196" i="6"/>
  <c r="AE196" i="6"/>
  <c r="M196" i="6"/>
  <c r="AW195" i="6"/>
  <c r="AN195" i="6"/>
  <c r="AE195" i="6"/>
  <c r="M195" i="6"/>
  <c r="AW194" i="6"/>
  <c r="AN194" i="6"/>
  <c r="AE194" i="6"/>
  <c r="M194" i="6"/>
  <c r="AW193" i="6"/>
  <c r="AN193" i="6"/>
  <c r="AE193" i="6"/>
  <c r="M193" i="6"/>
  <c r="AW192" i="6"/>
  <c r="AN192" i="6"/>
  <c r="AE192" i="6"/>
  <c r="M192" i="6"/>
  <c r="AW191" i="6"/>
  <c r="AN191" i="6"/>
  <c r="AE191" i="6"/>
  <c r="M191" i="6"/>
  <c r="AW190" i="6"/>
  <c r="AN190" i="6"/>
  <c r="AE190" i="6"/>
  <c r="M190" i="6"/>
  <c r="AW189" i="6"/>
  <c r="AN189" i="6"/>
  <c r="AE189" i="6"/>
  <c r="M189" i="6"/>
  <c r="AW188" i="6"/>
  <c r="AN188" i="6"/>
  <c r="AE188" i="6"/>
  <c r="M188" i="6"/>
  <c r="AW187" i="6"/>
  <c r="AN187" i="6"/>
  <c r="AE187" i="6"/>
  <c r="M187" i="6"/>
  <c r="AW186" i="6"/>
  <c r="AN186" i="6"/>
  <c r="AE186" i="6"/>
  <c r="M186" i="6"/>
  <c r="AW185" i="6"/>
  <c r="AN185" i="6"/>
  <c r="AE185" i="6"/>
  <c r="M185" i="6"/>
  <c r="AW184" i="6"/>
  <c r="AN184" i="6"/>
  <c r="AE184" i="6"/>
  <c r="M184" i="6"/>
  <c r="AW183" i="6"/>
  <c r="AN183" i="6"/>
  <c r="AE183" i="6"/>
  <c r="M183" i="6"/>
  <c r="AW182" i="6"/>
  <c r="AN182" i="6"/>
  <c r="AE182" i="6"/>
  <c r="M182" i="6"/>
  <c r="AW181" i="6"/>
  <c r="AN181" i="6"/>
  <c r="AE181" i="6"/>
  <c r="M181" i="6"/>
  <c r="AW180" i="6"/>
  <c r="AN180" i="6"/>
  <c r="AE180" i="6"/>
  <c r="M180" i="6"/>
  <c r="AW179" i="6"/>
  <c r="AN179" i="6"/>
  <c r="AE179" i="6"/>
  <c r="M179" i="6"/>
  <c r="AW178" i="6"/>
  <c r="AN178" i="6"/>
  <c r="AE178" i="6"/>
  <c r="M178" i="6"/>
  <c r="AW177" i="6"/>
  <c r="AN177" i="6"/>
  <c r="AE177" i="6"/>
  <c r="M177" i="6"/>
  <c r="AW176" i="6"/>
  <c r="AN176" i="6"/>
  <c r="AE176" i="6"/>
  <c r="M176" i="6"/>
  <c r="AW175" i="6"/>
  <c r="AN175" i="6"/>
  <c r="AE175" i="6"/>
  <c r="M175" i="6"/>
  <c r="AW174" i="6"/>
  <c r="AN174" i="6"/>
  <c r="AE174" i="6"/>
  <c r="M174" i="6"/>
  <c r="AW173" i="6"/>
  <c r="AN173" i="6"/>
  <c r="AE173" i="6"/>
  <c r="M173" i="6"/>
  <c r="AW172" i="6"/>
  <c r="AN172" i="6"/>
  <c r="AE172" i="6"/>
  <c r="M172" i="6"/>
  <c r="AW171" i="6"/>
  <c r="AN171" i="6"/>
  <c r="AE171" i="6"/>
  <c r="M171" i="6"/>
  <c r="AW170" i="6"/>
  <c r="AN170" i="6"/>
  <c r="AE170" i="6"/>
  <c r="M170" i="6"/>
  <c r="AW169" i="6"/>
  <c r="AN169" i="6"/>
  <c r="AE169" i="6"/>
  <c r="M169" i="6"/>
  <c r="AW168" i="6"/>
  <c r="AN168" i="6"/>
  <c r="AE168" i="6"/>
  <c r="M168" i="6"/>
  <c r="AW167" i="6"/>
  <c r="AN167" i="6"/>
  <c r="AE167" i="6"/>
  <c r="M167" i="6"/>
  <c r="AW166" i="6"/>
  <c r="AN166" i="6"/>
  <c r="AE166" i="6"/>
  <c r="M166" i="6"/>
  <c r="AW165" i="6"/>
  <c r="AN165" i="6"/>
  <c r="AE165" i="6"/>
  <c r="M165" i="6"/>
  <c r="AW164" i="6"/>
  <c r="AN164" i="6"/>
  <c r="AE164" i="6"/>
  <c r="M164" i="6"/>
  <c r="AW163" i="6"/>
  <c r="AN163" i="6"/>
  <c r="AE163" i="6"/>
  <c r="M163" i="6"/>
  <c r="AW162" i="6"/>
  <c r="AN162" i="6"/>
  <c r="AE162" i="6"/>
  <c r="M162" i="6"/>
  <c r="AW161" i="6"/>
  <c r="AN161" i="6"/>
  <c r="AE161" i="6"/>
  <c r="M161" i="6"/>
  <c r="AW160" i="6"/>
  <c r="AN160" i="6"/>
  <c r="AE160" i="6"/>
  <c r="M160" i="6"/>
  <c r="AW159" i="6"/>
  <c r="AN159" i="6"/>
  <c r="AE159" i="6"/>
  <c r="M159" i="6"/>
  <c r="AW158" i="6"/>
  <c r="AN158" i="6"/>
  <c r="AE158" i="6"/>
  <c r="M158" i="6"/>
  <c r="AW157" i="6"/>
  <c r="AN157" i="6"/>
  <c r="AE157" i="6"/>
  <c r="M157" i="6"/>
  <c r="AW156" i="6"/>
  <c r="AN156" i="6"/>
  <c r="AE156" i="6"/>
  <c r="M156" i="6"/>
  <c r="AW155" i="6"/>
  <c r="AN155" i="6"/>
  <c r="AE155" i="6"/>
  <c r="M155" i="6"/>
  <c r="AW154" i="6"/>
  <c r="AN154" i="6"/>
  <c r="AE154" i="6"/>
  <c r="M154" i="6"/>
  <c r="AW153" i="6"/>
  <c r="AN153" i="6"/>
  <c r="AE153" i="6"/>
  <c r="M153" i="6"/>
  <c r="AW152" i="6"/>
  <c r="AN152" i="6"/>
  <c r="AE152" i="6"/>
  <c r="M152" i="6"/>
  <c r="AW151" i="6"/>
  <c r="AN151" i="6"/>
  <c r="AE151" i="6"/>
  <c r="M151" i="6"/>
  <c r="AW150" i="6"/>
  <c r="AN150" i="6"/>
  <c r="AE150" i="6"/>
  <c r="M150" i="6"/>
  <c r="AW149" i="6"/>
  <c r="AN149" i="6"/>
  <c r="AE149" i="6"/>
  <c r="M149" i="6"/>
  <c r="AW148" i="6"/>
  <c r="AN148" i="6"/>
  <c r="AE148" i="6"/>
  <c r="M148" i="6"/>
  <c r="AW147" i="6"/>
  <c r="AN147" i="6"/>
  <c r="AE147" i="6"/>
  <c r="M147" i="6"/>
  <c r="AW146" i="6"/>
  <c r="AN146" i="6"/>
  <c r="AE146" i="6"/>
  <c r="M146" i="6"/>
  <c r="AW145" i="6"/>
  <c r="AN145" i="6"/>
  <c r="AE145" i="6"/>
  <c r="M145" i="6"/>
  <c r="AW144" i="6"/>
  <c r="AN144" i="6"/>
  <c r="AE144" i="6"/>
  <c r="M144" i="6"/>
  <c r="AW143" i="6"/>
  <c r="AN143" i="6"/>
  <c r="AE143" i="6"/>
  <c r="M143" i="6"/>
  <c r="AW142" i="6"/>
  <c r="AN142" i="6"/>
  <c r="AE142" i="6"/>
  <c r="M142" i="6"/>
  <c r="AW141" i="6"/>
  <c r="AN141" i="6"/>
  <c r="AE141" i="6"/>
  <c r="M141" i="6"/>
  <c r="AW140" i="6"/>
  <c r="AN140" i="6"/>
  <c r="AE140" i="6"/>
  <c r="M140" i="6"/>
  <c r="AW139" i="6"/>
  <c r="AN139" i="6"/>
  <c r="AE139" i="6"/>
  <c r="M139" i="6"/>
  <c r="AW138" i="6"/>
  <c r="AN138" i="6"/>
  <c r="AE138" i="6"/>
  <c r="M138" i="6"/>
  <c r="AW137" i="6"/>
  <c r="AN137" i="6"/>
  <c r="AE137" i="6"/>
  <c r="M137" i="6"/>
  <c r="AW136" i="6"/>
  <c r="AN136" i="6"/>
  <c r="AE136" i="6"/>
  <c r="M136" i="6"/>
  <c r="AW135" i="6"/>
  <c r="AN135" i="6"/>
  <c r="AE135" i="6"/>
  <c r="M135" i="6"/>
  <c r="AW134" i="6"/>
  <c r="AN134" i="6"/>
  <c r="AE134" i="6"/>
  <c r="M134" i="6"/>
  <c r="AW133" i="6"/>
  <c r="AN133" i="6"/>
  <c r="AE133" i="6"/>
  <c r="M133" i="6"/>
  <c r="AW132" i="6"/>
  <c r="AN132" i="6"/>
  <c r="AE132" i="6"/>
  <c r="M132" i="6"/>
  <c r="AW131" i="6"/>
  <c r="AN131" i="6"/>
  <c r="AE131" i="6"/>
  <c r="M131" i="6"/>
  <c r="AW130" i="6"/>
  <c r="AN130" i="6"/>
  <c r="AE130" i="6"/>
  <c r="M130" i="6"/>
  <c r="AW129" i="6"/>
  <c r="AN129" i="6"/>
  <c r="AE129" i="6"/>
  <c r="M129" i="6"/>
  <c r="AW128" i="6"/>
  <c r="AN128" i="6"/>
  <c r="AE128" i="6"/>
  <c r="M128" i="6"/>
  <c r="AW127" i="6"/>
  <c r="AN127" i="6"/>
  <c r="AE127" i="6"/>
  <c r="M127" i="6"/>
  <c r="AW126" i="6"/>
  <c r="AN126" i="6"/>
  <c r="AE126" i="6"/>
  <c r="M126" i="6"/>
  <c r="AW125" i="6"/>
  <c r="AN125" i="6"/>
  <c r="AE125" i="6"/>
  <c r="M125" i="6"/>
  <c r="AW124" i="6"/>
  <c r="AN124" i="6"/>
  <c r="AE124" i="6"/>
  <c r="M124" i="6"/>
  <c r="AW123" i="6"/>
  <c r="AN123" i="6"/>
  <c r="AE123" i="6"/>
  <c r="M123" i="6"/>
  <c r="AW122" i="6"/>
  <c r="AN122" i="6"/>
  <c r="AE122" i="6"/>
  <c r="M122" i="6"/>
  <c r="AW121" i="6"/>
  <c r="AN121" i="6"/>
  <c r="AE121" i="6"/>
  <c r="M121" i="6"/>
  <c r="AW120" i="6"/>
  <c r="AN120" i="6"/>
  <c r="AE120" i="6"/>
  <c r="M120" i="6"/>
  <c r="AW119" i="6"/>
  <c r="AN119" i="6"/>
  <c r="AE119" i="6"/>
  <c r="M119" i="6"/>
  <c r="AW118" i="6"/>
  <c r="AN118" i="6"/>
  <c r="AE118" i="6"/>
  <c r="M118" i="6"/>
  <c r="AW117" i="6"/>
  <c r="AN117" i="6"/>
  <c r="AE117" i="6"/>
  <c r="M117" i="6"/>
  <c r="AW116" i="6"/>
  <c r="AN116" i="6"/>
  <c r="AE116" i="6"/>
  <c r="M116" i="6"/>
  <c r="AW115" i="6"/>
  <c r="AN115" i="6"/>
  <c r="AE115" i="6"/>
  <c r="M115" i="6"/>
  <c r="AW114" i="6"/>
  <c r="AN114" i="6"/>
  <c r="AE114" i="6"/>
  <c r="M114" i="6"/>
  <c r="AW113" i="6"/>
  <c r="AN113" i="6"/>
  <c r="AE113" i="6"/>
  <c r="M113" i="6"/>
  <c r="AW112" i="6"/>
  <c r="AN112" i="6"/>
  <c r="AE112" i="6"/>
  <c r="M112" i="6"/>
  <c r="AW111" i="6"/>
  <c r="AN111" i="6"/>
  <c r="AE111" i="6"/>
  <c r="M111" i="6"/>
  <c r="AW110" i="6"/>
  <c r="AN110" i="6"/>
  <c r="AE110" i="6"/>
  <c r="M110" i="6"/>
  <c r="AW109" i="6"/>
  <c r="AN109" i="6"/>
  <c r="AE109" i="6"/>
  <c r="M109" i="6"/>
  <c r="AW108" i="6"/>
  <c r="AN108" i="6"/>
  <c r="AE108" i="6"/>
  <c r="M108" i="6"/>
  <c r="AW107" i="6"/>
  <c r="AN107" i="6"/>
  <c r="AE107" i="6"/>
  <c r="M107" i="6"/>
  <c r="AW106" i="6"/>
  <c r="AN106" i="6"/>
  <c r="AE106" i="6"/>
  <c r="M106" i="6"/>
  <c r="AW105" i="6"/>
  <c r="AN105" i="6"/>
  <c r="AE105" i="6"/>
  <c r="M105" i="6"/>
  <c r="AW104" i="6"/>
  <c r="AN104" i="6"/>
  <c r="AE104" i="6"/>
  <c r="M104" i="6"/>
  <c r="AW103" i="6"/>
  <c r="AN103" i="6"/>
  <c r="AE103" i="6"/>
  <c r="M103" i="6"/>
  <c r="AW102" i="6"/>
  <c r="AN102" i="6"/>
  <c r="AE102" i="6"/>
  <c r="M102" i="6"/>
  <c r="AW101" i="6"/>
  <c r="AN101" i="6"/>
  <c r="AE101" i="6"/>
  <c r="M101" i="6"/>
  <c r="AW100" i="6"/>
  <c r="AN100" i="6"/>
  <c r="AE100" i="6"/>
  <c r="M100" i="6"/>
  <c r="AW99" i="6"/>
  <c r="AN99" i="6"/>
  <c r="AE99" i="6"/>
  <c r="M99" i="6"/>
  <c r="AW98" i="6"/>
  <c r="AN98" i="6"/>
  <c r="AE98" i="6"/>
  <c r="M98" i="6"/>
  <c r="AW97" i="6"/>
  <c r="AN97" i="6"/>
  <c r="AE97" i="6"/>
  <c r="M97" i="6"/>
  <c r="AW96" i="6"/>
  <c r="AN96" i="6"/>
  <c r="AE96" i="6"/>
  <c r="M96" i="6"/>
  <c r="AW95" i="6"/>
  <c r="AN95" i="6"/>
  <c r="AE95" i="6"/>
  <c r="M95" i="6"/>
  <c r="AW94" i="6"/>
  <c r="AN94" i="6"/>
  <c r="AE94" i="6"/>
  <c r="M94" i="6"/>
  <c r="AW93" i="6"/>
  <c r="AN93" i="6"/>
  <c r="AE93" i="6"/>
  <c r="M93" i="6"/>
  <c r="AW92" i="6"/>
  <c r="AN92" i="6"/>
  <c r="AE92" i="6"/>
  <c r="M92" i="6"/>
  <c r="AW91" i="6"/>
  <c r="AN91" i="6"/>
  <c r="AE91" i="6"/>
  <c r="M91" i="6"/>
  <c r="AW90" i="6"/>
  <c r="AN90" i="6"/>
  <c r="AE90" i="6"/>
  <c r="M90" i="6"/>
  <c r="AW89" i="6"/>
  <c r="AN89" i="6"/>
  <c r="AE89" i="6"/>
  <c r="M89" i="6"/>
  <c r="AW88" i="6"/>
  <c r="AN88" i="6"/>
  <c r="AE88" i="6"/>
  <c r="M88" i="6"/>
  <c r="AW87" i="6"/>
  <c r="AN87" i="6"/>
  <c r="AE87" i="6"/>
  <c r="M87" i="6"/>
  <c r="AW86" i="6"/>
  <c r="AN86" i="6"/>
  <c r="AE86" i="6"/>
  <c r="M86" i="6"/>
  <c r="AW85" i="6"/>
  <c r="AN85" i="6"/>
  <c r="AE85" i="6"/>
  <c r="M85" i="6"/>
  <c r="AW84" i="6"/>
  <c r="AN84" i="6"/>
  <c r="AE84" i="6"/>
  <c r="M84" i="6"/>
  <c r="AW83" i="6"/>
  <c r="AN83" i="6"/>
  <c r="AE83" i="6"/>
  <c r="M83" i="6"/>
  <c r="AW82" i="6"/>
  <c r="AN82" i="6"/>
  <c r="AE82" i="6"/>
  <c r="M82" i="6"/>
  <c r="AW81" i="6"/>
  <c r="AN81" i="6"/>
  <c r="AE81" i="6"/>
  <c r="M81" i="6"/>
  <c r="AW80" i="6"/>
  <c r="AN80" i="6"/>
  <c r="AE80" i="6"/>
  <c r="M80" i="6"/>
  <c r="AW79" i="6"/>
  <c r="AN79" i="6"/>
  <c r="AE79" i="6"/>
  <c r="M79" i="6"/>
  <c r="AW78" i="6"/>
  <c r="AN78" i="6"/>
  <c r="AE78" i="6"/>
  <c r="M78" i="6"/>
  <c r="AW77" i="6"/>
  <c r="AN77" i="6"/>
  <c r="AE77" i="6"/>
  <c r="M77" i="6"/>
  <c r="AW76" i="6"/>
  <c r="AN76" i="6"/>
  <c r="AE76" i="6"/>
  <c r="M76" i="6"/>
  <c r="AW75" i="6"/>
  <c r="AN75" i="6"/>
  <c r="AE75" i="6"/>
  <c r="M75" i="6"/>
  <c r="AW74" i="6"/>
  <c r="AN74" i="6"/>
  <c r="AE74" i="6"/>
  <c r="M74" i="6"/>
  <c r="AW73" i="6"/>
  <c r="AN73" i="6"/>
  <c r="AE73" i="6"/>
  <c r="M73" i="6"/>
  <c r="AW72" i="6"/>
  <c r="AN72" i="6"/>
  <c r="AE72" i="6"/>
  <c r="M72" i="6"/>
  <c r="AW71" i="6"/>
  <c r="AN71" i="6"/>
  <c r="AE71" i="6"/>
  <c r="M71" i="6"/>
  <c r="AW70" i="6"/>
  <c r="AN70" i="6"/>
  <c r="AE70" i="6"/>
  <c r="M70" i="6"/>
  <c r="AW69" i="6"/>
  <c r="AN69" i="6"/>
  <c r="AE69" i="6"/>
  <c r="M69" i="6"/>
  <c r="AW68" i="6"/>
  <c r="AN68" i="6"/>
  <c r="AE68" i="6"/>
  <c r="M68" i="6"/>
  <c r="AW67" i="6"/>
  <c r="AN67" i="6"/>
  <c r="AE67" i="6"/>
  <c r="M67" i="6"/>
  <c r="AW66" i="6"/>
  <c r="AN66" i="6"/>
  <c r="AE66" i="6"/>
  <c r="M66" i="6"/>
  <c r="AW65" i="6"/>
  <c r="AN65" i="6"/>
  <c r="AE65" i="6"/>
  <c r="M65" i="6"/>
  <c r="AW64" i="6"/>
  <c r="AN64" i="6"/>
  <c r="AE64" i="6"/>
  <c r="M64" i="6"/>
  <c r="AW63" i="6"/>
  <c r="AN63" i="6"/>
  <c r="AE63" i="6"/>
  <c r="M63" i="6"/>
  <c r="AW62" i="6"/>
  <c r="AN62" i="6"/>
  <c r="AE62" i="6"/>
  <c r="M62" i="6"/>
  <c r="AW61" i="6"/>
  <c r="AN61" i="6"/>
  <c r="AE61" i="6"/>
  <c r="M61" i="6"/>
  <c r="AW60" i="6"/>
  <c r="AN60" i="6"/>
  <c r="AE60" i="6"/>
  <c r="M60" i="6"/>
  <c r="AW59" i="6"/>
  <c r="AN59" i="6"/>
  <c r="AE59" i="6"/>
  <c r="M59" i="6"/>
  <c r="AW58" i="6"/>
  <c r="AN58" i="6"/>
  <c r="AE58" i="6"/>
  <c r="M58" i="6"/>
  <c r="AW57" i="6"/>
  <c r="AN57" i="6"/>
  <c r="AE57" i="6"/>
  <c r="M57" i="6"/>
  <c r="AW56" i="6"/>
  <c r="AN56" i="6"/>
  <c r="AE56" i="6"/>
  <c r="M56" i="6"/>
  <c r="AW55" i="6"/>
  <c r="AN55" i="6"/>
  <c r="AE55" i="6"/>
  <c r="M55" i="6"/>
  <c r="AW54" i="6"/>
  <c r="AN54" i="6"/>
  <c r="AE54" i="6"/>
  <c r="M54" i="6"/>
  <c r="AW53" i="6"/>
  <c r="AN53" i="6"/>
  <c r="AE53" i="6"/>
  <c r="M53" i="6"/>
  <c r="AW52" i="6"/>
  <c r="AN52" i="6"/>
  <c r="AE52" i="6"/>
  <c r="M52" i="6"/>
  <c r="AW51" i="6"/>
  <c r="AN51" i="6"/>
  <c r="AE51" i="6"/>
  <c r="M51" i="6"/>
  <c r="AW50" i="6"/>
  <c r="AN50" i="6"/>
  <c r="AE50" i="6"/>
  <c r="M50" i="6"/>
  <c r="AW49" i="6"/>
  <c r="AN49" i="6"/>
  <c r="AE49" i="6"/>
  <c r="M49" i="6"/>
  <c r="AW48" i="6"/>
  <c r="AN48" i="6"/>
  <c r="AE48" i="6"/>
  <c r="M48" i="6"/>
  <c r="AW47" i="6"/>
  <c r="AN47" i="6"/>
  <c r="AE47" i="6"/>
  <c r="M47" i="6"/>
  <c r="AW46" i="6"/>
  <c r="AN46" i="6"/>
  <c r="AE46" i="6"/>
  <c r="M46" i="6"/>
  <c r="AW45" i="6"/>
  <c r="AN45" i="6"/>
  <c r="AE45" i="6"/>
  <c r="M45" i="6"/>
  <c r="AW44" i="6"/>
  <c r="AN44" i="6"/>
  <c r="AE44" i="6"/>
  <c r="M44" i="6"/>
  <c r="AW43" i="6"/>
  <c r="AN43" i="6"/>
  <c r="AE43" i="6"/>
  <c r="M43" i="6"/>
  <c r="AW42" i="6"/>
  <c r="AN42" i="6"/>
  <c r="AE42" i="6"/>
  <c r="M42" i="6"/>
  <c r="AW41" i="6"/>
  <c r="AN41" i="6"/>
  <c r="AE41" i="6"/>
  <c r="M41" i="6"/>
  <c r="AW40" i="6"/>
  <c r="AN40" i="6"/>
  <c r="AE40" i="6"/>
  <c r="M40" i="6"/>
  <c r="AW39" i="6"/>
  <c r="AN39" i="6"/>
  <c r="AE39" i="6"/>
  <c r="M39" i="6"/>
  <c r="AW38" i="6"/>
  <c r="AN38" i="6"/>
  <c r="AE38" i="6"/>
  <c r="M38" i="6"/>
  <c r="AW37" i="6"/>
  <c r="AN37" i="6"/>
  <c r="AE37" i="6"/>
  <c r="M37" i="6"/>
  <c r="AW36" i="6"/>
  <c r="AN36" i="6"/>
  <c r="AE36" i="6"/>
  <c r="M36" i="6"/>
  <c r="AW35" i="6"/>
  <c r="AN35" i="6"/>
  <c r="AE35" i="6"/>
  <c r="M35" i="6"/>
  <c r="AW34" i="6"/>
  <c r="AN34" i="6"/>
  <c r="AE34" i="6"/>
  <c r="M34" i="6"/>
  <c r="AW33" i="6"/>
  <c r="AN33" i="6"/>
  <c r="AE33" i="6"/>
  <c r="M33" i="6"/>
  <c r="AW32" i="6"/>
  <c r="AN32" i="6"/>
  <c r="AE32" i="6"/>
  <c r="M32" i="6"/>
  <c r="AW31" i="6"/>
  <c r="AN31" i="6"/>
  <c r="AE31" i="6"/>
  <c r="M31" i="6"/>
  <c r="AW30" i="6"/>
  <c r="AN30" i="6"/>
  <c r="AE30" i="6"/>
  <c r="M30" i="6"/>
  <c r="AW29" i="6"/>
  <c r="AN29" i="6"/>
  <c r="AE29" i="6"/>
  <c r="M29" i="6"/>
  <c r="AW28" i="6"/>
  <c r="AN28" i="6"/>
  <c r="AE28" i="6"/>
  <c r="M28" i="6"/>
  <c r="AW27" i="6"/>
  <c r="AN27" i="6"/>
  <c r="AE27" i="6"/>
  <c r="M27" i="6"/>
  <c r="AW26" i="6"/>
  <c r="AN26" i="6"/>
  <c r="AE26" i="6"/>
  <c r="M26" i="6"/>
  <c r="AW25" i="6"/>
  <c r="AN25" i="6"/>
  <c r="AE25" i="6"/>
  <c r="M25" i="6"/>
  <c r="AW24" i="6"/>
  <c r="AN24" i="6"/>
  <c r="AE24" i="6"/>
  <c r="M24" i="6"/>
  <c r="AW23" i="6"/>
  <c r="AN23" i="6"/>
  <c r="AE23" i="6"/>
  <c r="M23" i="6"/>
  <c r="AW22" i="6"/>
  <c r="AN22" i="6"/>
  <c r="AE22" i="6"/>
  <c r="M22" i="6"/>
  <c r="AW21" i="6"/>
  <c r="AN21" i="6"/>
  <c r="AE21" i="6"/>
  <c r="M21" i="6"/>
  <c r="AW20" i="6"/>
  <c r="AN20" i="6"/>
  <c r="AE20" i="6"/>
  <c r="M20" i="6"/>
  <c r="AW19" i="6"/>
  <c r="AN19" i="6"/>
  <c r="AE19" i="6"/>
  <c r="M19" i="6"/>
  <c r="AW18" i="6"/>
  <c r="AN18" i="6"/>
  <c r="AE18" i="6"/>
  <c r="M18" i="6"/>
  <c r="AW17" i="6"/>
  <c r="AN17" i="6"/>
  <c r="AE17" i="6"/>
  <c r="M17" i="6"/>
  <c r="AW16" i="6"/>
  <c r="AN16" i="6"/>
  <c r="AE16" i="6"/>
  <c r="M16" i="6"/>
  <c r="AW15" i="6"/>
  <c r="AN15" i="6"/>
  <c r="AE15" i="6"/>
  <c r="M15" i="6"/>
  <c r="AW14" i="6"/>
  <c r="AN14" i="6"/>
  <c r="AE14" i="6"/>
  <c r="M14" i="6"/>
  <c r="AW13" i="6"/>
  <c r="AN13" i="6"/>
  <c r="AE13" i="6"/>
  <c r="M13" i="6"/>
  <c r="AW12" i="6"/>
  <c r="AN12" i="6"/>
  <c r="AE12" i="6"/>
  <c r="M12" i="6"/>
  <c r="AW11" i="6"/>
  <c r="AN11" i="6"/>
  <c r="AE11" i="6"/>
  <c r="M11" i="6"/>
  <c r="AW10" i="6"/>
  <c r="AN10" i="6"/>
  <c r="AE10" i="6"/>
  <c r="M10" i="6"/>
  <c r="AW9" i="6"/>
  <c r="AN9" i="6"/>
  <c r="AE9" i="6"/>
  <c r="M9" i="6"/>
  <c r="AW8" i="6"/>
  <c r="AN8" i="6"/>
  <c r="AE8" i="6"/>
  <c r="M8" i="6"/>
  <c r="AW7" i="6"/>
  <c r="AN7" i="6"/>
  <c r="AE7" i="6"/>
  <c r="M7" i="6"/>
  <c r="AW6" i="6"/>
  <c r="AN6" i="6"/>
  <c r="AE6" i="6"/>
  <c r="M6" i="6"/>
  <c r="AW5" i="6"/>
  <c r="AN5" i="6"/>
  <c r="AE5" i="6"/>
  <c r="M5" i="6"/>
  <c r="AW168" i="5"/>
  <c r="AN168" i="5"/>
  <c r="AE168" i="5"/>
  <c r="M168" i="5"/>
  <c r="AW167" i="5"/>
  <c r="AN167" i="5"/>
  <c r="AE167" i="5"/>
  <c r="M167" i="5"/>
  <c r="AW166" i="5"/>
  <c r="AN166" i="5"/>
  <c r="AE166" i="5"/>
  <c r="M166" i="5"/>
  <c r="AW165" i="5"/>
  <c r="AN165" i="5"/>
  <c r="AE165" i="5"/>
  <c r="M165" i="5"/>
  <c r="AW164" i="5"/>
  <c r="AN164" i="5"/>
  <c r="AE164" i="5"/>
  <c r="M164" i="5"/>
  <c r="AW163" i="5"/>
  <c r="AN163" i="5"/>
  <c r="AE163" i="5"/>
  <c r="M163" i="5"/>
  <c r="AW162" i="5"/>
  <c r="AN162" i="5"/>
  <c r="AE162" i="5"/>
  <c r="M162" i="5"/>
  <c r="AW161" i="5"/>
  <c r="AN161" i="5"/>
  <c r="AE161" i="5"/>
  <c r="M161" i="5"/>
  <c r="AW160" i="5"/>
  <c r="AN160" i="5"/>
  <c r="AE160" i="5"/>
  <c r="M160" i="5"/>
  <c r="AW159" i="5"/>
  <c r="AN159" i="5"/>
  <c r="AE159" i="5"/>
  <c r="M159" i="5"/>
  <c r="AW158" i="5"/>
  <c r="AN158" i="5"/>
  <c r="AE158" i="5"/>
  <c r="M158" i="5"/>
  <c r="AW157" i="5"/>
  <c r="AN157" i="5"/>
  <c r="AE157" i="5"/>
  <c r="M157" i="5"/>
  <c r="AW156" i="5"/>
  <c r="AN156" i="5"/>
  <c r="AE156" i="5"/>
  <c r="M156" i="5"/>
  <c r="AW155" i="5"/>
  <c r="AN155" i="5"/>
  <c r="AE155" i="5"/>
  <c r="M155" i="5"/>
  <c r="AW154" i="5"/>
  <c r="AN154" i="5"/>
  <c r="AE154" i="5"/>
  <c r="M154" i="5"/>
  <c r="AW153" i="5"/>
  <c r="AN153" i="5"/>
  <c r="AE153" i="5"/>
  <c r="M153" i="5"/>
  <c r="AW152" i="5"/>
  <c r="AN152" i="5"/>
  <c r="AE152" i="5"/>
  <c r="M152" i="5"/>
  <c r="AW151" i="5"/>
  <c r="AN151" i="5"/>
  <c r="AE151" i="5"/>
  <c r="M151" i="5"/>
  <c r="AW150" i="5"/>
  <c r="AN150" i="5"/>
  <c r="AE150" i="5"/>
  <c r="M150" i="5"/>
  <c r="AW149" i="5"/>
  <c r="AN149" i="5"/>
  <c r="AE149" i="5"/>
  <c r="M149" i="5"/>
  <c r="AW148" i="5"/>
  <c r="AN148" i="5"/>
  <c r="AE148" i="5"/>
  <c r="M148" i="5"/>
  <c r="AW147" i="5"/>
  <c r="AN147" i="5"/>
  <c r="AE147" i="5"/>
  <c r="M147" i="5"/>
  <c r="AW146" i="5"/>
  <c r="AN146" i="5"/>
  <c r="AE146" i="5"/>
  <c r="M146" i="5"/>
  <c r="AW145" i="5"/>
  <c r="AN145" i="5"/>
  <c r="AE145" i="5"/>
  <c r="M145" i="5"/>
  <c r="AW144" i="5"/>
  <c r="AN144" i="5"/>
  <c r="AE144" i="5"/>
  <c r="M144" i="5"/>
  <c r="AW143" i="5"/>
  <c r="AN143" i="5"/>
  <c r="AE143" i="5"/>
  <c r="M143" i="5"/>
  <c r="AW142" i="5"/>
  <c r="AN142" i="5"/>
  <c r="AE142" i="5"/>
  <c r="M142" i="5"/>
  <c r="AW141" i="5"/>
  <c r="AN141" i="5"/>
  <c r="AE141" i="5"/>
  <c r="M141" i="5"/>
  <c r="AW140" i="5"/>
  <c r="AN140" i="5"/>
  <c r="AE140" i="5"/>
  <c r="M140" i="5"/>
  <c r="AW139" i="5"/>
  <c r="AN139" i="5"/>
  <c r="AE139" i="5"/>
  <c r="M139" i="5"/>
  <c r="AW138" i="5"/>
  <c r="AN138" i="5"/>
  <c r="AE138" i="5"/>
  <c r="M138" i="5"/>
  <c r="AW137" i="5"/>
  <c r="AN137" i="5"/>
  <c r="AE137" i="5"/>
  <c r="M137" i="5"/>
  <c r="AW136" i="5"/>
  <c r="AN136" i="5"/>
  <c r="AE136" i="5"/>
  <c r="M136" i="5"/>
  <c r="AW135" i="5"/>
  <c r="AN135" i="5"/>
  <c r="AE135" i="5"/>
  <c r="M135" i="5"/>
  <c r="AW134" i="5"/>
  <c r="AN134" i="5"/>
  <c r="AE134" i="5"/>
  <c r="M134" i="5"/>
  <c r="AW133" i="5"/>
  <c r="AN133" i="5"/>
  <c r="AE133" i="5"/>
  <c r="M133" i="5"/>
  <c r="AW132" i="5"/>
  <c r="AN132" i="5"/>
  <c r="AE132" i="5"/>
  <c r="M132" i="5"/>
  <c r="AW131" i="5"/>
  <c r="AN131" i="5"/>
  <c r="AE131" i="5"/>
  <c r="M131" i="5"/>
  <c r="AW130" i="5"/>
  <c r="AN130" i="5"/>
  <c r="AE130" i="5"/>
  <c r="M130" i="5"/>
  <c r="AW129" i="5"/>
  <c r="AN129" i="5"/>
  <c r="AE129" i="5"/>
  <c r="M129" i="5"/>
  <c r="AW128" i="5"/>
  <c r="AN128" i="5"/>
  <c r="AE128" i="5"/>
  <c r="M128" i="5"/>
  <c r="AW127" i="5"/>
  <c r="AN127" i="5"/>
  <c r="AE127" i="5"/>
  <c r="M127" i="5"/>
  <c r="AW126" i="5"/>
  <c r="AN126" i="5"/>
  <c r="AE126" i="5"/>
  <c r="M126" i="5"/>
  <c r="AW125" i="5"/>
  <c r="AN125" i="5"/>
  <c r="AE125" i="5"/>
  <c r="M125" i="5"/>
  <c r="AW124" i="5"/>
  <c r="AN124" i="5"/>
  <c r="AE124" i="5"/>
  <c r="M124" i="5"/>
  <c r="AW123" i="5"/>
  <c r="AN123" i="5"/>
  <c r="AE123" i="5"/>
  <c r="M123" i="5"/>
  <c r="AW122" i="5"/>
  <c r="AN122" i="5"/>
  <c r="AE122" i="5"/>
  <c r="M122" i="5"/>
  <c r="AW121" i="5"/>
  <c r="AN121" i="5"/>
  <c r="AE121" i="5"/>
  <c r="M121" i="5"/>
  <c r="AW120" i="5"/>
  <c r="AN120" i="5"/>
  <c r="AE120" i="5"/>
  <c r="M120" i="5"/>
  <c r="AW119" i="5"/>
  <c r="AN119" i="5"/>
  <c r="AE119" i="5"/>
  <c r="M119" i="5"/>
  <c r="AW118" i="5"/>
  <c r="AN118" i="5"/>
  <c r="AE118" i="5"/>
  <c r="M118" i="5"/>
  <c r="AW117" i="5"/>
  <c r="AN117" i="5"/>
  <c r="AE117" i="5"/>
  <c r="M117" i="5"/>
  <c r="AW116" i="5"/>
  <c r="AN116" i="5"/>
  <c r="AE116" i="5"/>
  <c r="M116" i="5"/>
  <c r="AW115" i="5"/>
  <c r="AN115" i="5"/>
  <c r="AE115" i="5"/>
  <c r="M115" i="5"/>
  <c r="AW114" i="5"/>
  <c r="AN114" i="5"/>
  <c r="AE114" i="5"/>
  <c r="M114" i="5"/>
  <c r="AW113" i="5"/>
  <c r="AN113" i="5"/>
  <c r="AE113" i="5"/>
  <c r="M113" i="5"/>
  <c r="AW112" i="5"/>
  <c r="AN112" i="5"/>
  <c r="AE112" i="5"/>
  <c r="M112" i="5"/>
  <c r="AW111" i="5"/>
  <c r="AN111" i="5"/>
  <c r="AE111" i="5"/>
  <c r="M111" i="5"/>
  <c r="AW110" i="5"/>
  <c r="AN110" i="5"/>
  <c r="AE110" i="5"/>
  <c r="M110" i="5"/>
  <c r="AW109" i="5"/>
  <c r="AN109" i="5"/>
  <c r="AE109" i="5"/>
  <c r="M109" i="5"/>
  <c r="AW108" i="5"/>
  <c r="AN108" i="5"/>
  <c r="AE108" i="5"/>
  <c r="M108" i="5"/>
  <c r="AW107" i="5"/>
  <c r="AN107" i="5"/>
  <c r="AE107" i="5"/>
  <c r="M107" i="5"/>
  <c r="AW106" i="5"/>
  <c r="AN106" i="5"/>
  <c r="AE106" i="5"/>
  <c r="M106" i="5"/>
  <c r="AW105" i="5"/>
  <c r="AN105" i="5"/>
  <c r="AE105" i="5"/>
  <c r="M105" i="5"/>
  <c r="AW104" i="5"/>
  <c r="AN104" i="5"/>
  <c r="AE104" i="5"/>
  <c r="M104" i="5"/>
  <c r="AW103" i="5"/>
  <c r="AN103" i="5"/>
  <c r="AE103" i="5"/>
  <c r="M103" i="5"/>
  <c r="AW102" i="5"/>
  <c r="AN102" i="5"/>
  <c r="AE102" i="5"/>
  <c r="M102" i="5"/>
  <c r="AW101" i="5"/>
  <c r="AN101" i="5"/>
  <c r="AE101" i="5"/>
  <c r="M101" i="5"/>
  <c r="AW100" i="5"/>
  <c r="AN100" i="5"/>
  <c r="AE100" i="5"/>
  <c r="M100" i="5"/>
  <c r="AW99" i="5"/>
  <c r="AN99" i="5"/>
  <c r="AE99" i="5"/>
  <c r="M99" i="5"/>
  <c r="AW98" i="5"/>
  <c r="AN98" i="5"/>
  <c r="AE98" i="5"/>
  <c r="M98" i="5"/>
  <c r="AW97" i="5"/>
  <c r="AN97" i="5"/>
  <c r="AE97" i="5"/>
  <c r="M97" i="5"/>
  <c r="AW96" i="5"/>
  <c r="AN96" i="5"/>
  <c r="AE96" i="5"/>
  <c r="M96" i="5"/>
  <c r="AW95" i="5"/>
  <c r="AN95" i="5"/>
  <c r="AE95" i="5"/>
  <c r="M95" i="5"/>
  <c r="AW94" i="5"/>
  <c r="AN94" i="5"/>
  <c r="AE94" i="5"/>
  <c r="M94" i="5"/>
  <c r="AW93" i="5"/>
  <c r="AN93" i="5"/>
  <c r="AE93" i="5"/>
  <c r="M93" i="5"/>
  <c r="AW92" i="5"/>
  <c r="AN92" i="5"/>
  <c r="AE92" i="5"/>
  <c r="M92" i="5"/>
  <c r="AW91" i="5"/>
  <c r="AN91" i="5"/>
  <c r="AE91" i="5"/>
  <c r="M91" i="5"/>
  <c r="AW90" i="5"/>
  <c r="AN90" i="5"/>
  <c r="AE90" i="5"/>
  <c r="M90" i="5"/>
  <c r="AW89" i="5"/>
  <c r="AN89" i="5"/>
  <c r="AE89" i="5"/>
  <c r="M89" i="5"/>
  <c r="AW88" i="5"/>
  <c r="AN88" i="5"/>
  <c r="AE88" i="5"/>
  <c r="M88" i="5"/>
  <c r="AW87" i="5"/>
  <c r="AN87" i="5"/>
  <c r="AE87" i="5"/>
  <c r="M87" i="5"/>
  <c r="AW86" i="5"/>
  <c r="AN86" i="5"/>
  <c r="AE86" i="5"/>
  <c r="M86" i="5"/>
  <c r="AW85" i="5"/>
  <c r="AN85" i="5"/>
  <c r="AE85" i="5"/>
  <c r="M85" i="5"/>
  <c r="AW84" i="5"/>
  <c r="AN84" i="5"/>
  <c r="AE84" i="5"/>
  <c r="M84" i="5"/>
  <c r="AW83" i="5"/>
  <c r="AN83" i="5"/>
  <c r="AE83" i="5"/>
  <c r="M83" i="5"/>
  <c r="AW82" i="5"/>
  <c r="AN82" i="5"/>
  <c r="AE82" i="5"/>
  <c r="M82" i="5"/>
  <c r="AW81" i="5"/>
  <c r="AN81" i="5"/>
  <c r="AE81" i="5"/>
  <c r="M81" i="5"/>
  <c r="AW80" i="5"/>
  <c r="AN80" i="5"/>
  <c r="AE80" i="5"/>
  <c r="M80" i="5"/>
  <c r="AW79" i="5"/>
  <c r="AN79" i="5"/>
  <c r="AE79" i="5"/>
  <c r="M79" i="5"/>
  <c r="AW78" i="5"/>
  <c r="AN78" i="5"/>
  <c r="AE78" i="5"/>
  <c r="M78" i="5"/>
  <c r="AW77" i="5"/>
  <c r="AN77" i="5"/>
  <c r="AE77" i="5"/>
  <c r="M77" i="5"/>
  <c r="AW76" i="5"/>
  <c r="AN76" i="5"/>
  <c r="AE76" i="5"/>
  <c r="M76" i="5"/>
  <c r="AW75" i="5"/>
  <c r="AN75" i="5"/>
  <c r="AE75" i="5"/>
  <c r="M75" i="5"/>
  <c r="AW74" i="5"/>
  <c r="AN74" i="5"/>
  <c r="AE74" i="5"/>
  <c r="M74" i="5"/>
  <c r="AW73" i="5"/>
  <c r="AN73" i="5"/>
  <c r="AE73" i="5"/>
  <c r="M73" i="5"/>
  <c r="AW72" i="5"/>
  <c r="AN72" i="5"/>
  <c r="AE72" i="5"/>
  <c r="M72" i="5"/>
  <c r="AW71" i="5"/>
  <c r="AN71" i="5"/>
  <c r="AE71" i="5"/>
  <c r="M71" i="5"/>
  <c r="AW70" i="5"/>
  <c r="AN70" i="5"/>
  <c r="AE70" i="5"/>
  <c r="M70" i="5"/>
  <c r="AW69" i="5"/>
  <c r="AN69" i="5"/>
  <c r="AE69" i="5"/>
  <c r="M69" i="5"/>
  <c r="AW68" i="5"/>
  <c r="AN68" i="5"/>
  <c r="AE68" i="5"/>
  <c r="M68" i="5"/>
  <c r="AW67" i="5"/>
  <c r="AN67" i="5"/>
  <c r="AE67" i="5"/>
  <c r="M67" i="5"/>
  <c r="AW66" i="5"/>
  <c r="AN66" i="5"/>
  <c r="AE66" i="5"/>
  <c r="M66" i="5"/>
  <c r="AW65" i="5"/>
  <c r="AN65" i="5"/>
  <c r="AE65" i="5"/>
  <c r="M65" i="5"/>
  <c r="AW64" i="5"/>
  <c r="AN64" i="5"/>
  <c r="AE64" i="5"/>
  <c r="M64" i="5"/>
  <c r="AW63" i="5"/>
  <c r="AN63" i="5"/>
  <c r="AE63" i="5"/>
  <c r="M63" i="5"/>
  <c r="AW62" i="5"/>
  <c r="AN62" i="5"/>
  <c r="AE62" i="5"/>
  <c r="M62" i="5"/>
  <c r="AW61" i="5"/>
  <c r="AN61" i="5"/>
  <c r="AE61" i="5"/>
  <c r="M61" i="5"/>
  <c r="AW60" i="5"/>
  <c r="AN60" i="5"/>
  <c r="AE60" i="5"/>
  <c r="M60" i="5"/>
  <c r="AW59" i="5"/>
  <c r="AN59" i="5"/>
  <c r="AE59" i="5"/>
  <c r="M59" i="5"/>
  <c r="AW58" i="5"/>
  <c r="AN58" i="5"/>
  <c r="AE58" i="5"/>
  <c r="M58" i="5"/>
  <c r="AW57" i="5"/>
  <c r="AN57" i="5"/>
  <c r="AE57" i="5"/>
  <c r="M57" i="5"/>
  <c r="AW56" i="5"/>
  <c r="AN56" i="5"/>
  <c r="AE56" i="5"/>
  <c r="M56" i="5"/>
  <c r="AW55" i="5"/>
  <c r="AN55" i="5"/>
  <c r="AE55" i="5"/>
  <c r="M55" i="5"/>
  <c r="AW54" i="5"/>
  <c r="AN54" i="5"/>
  <c r="AE54" i="5"/>
  <c r="M54" i="5"/>
  <c r="AW53" i="5"/>
  <c r="AN53" i="5"/>
  <c r="AE53" i="5"/>
  <c r="M53" i="5"/>
  <c r="AW52" i="5"/>
  <c r="AN52" i="5"/>
  <c r="AE52" i="5"/>
  <c r="M52" i="5"/>
  <c r="AW51" i="5"/>
  <c r="AN51" i="5"/>
  <c r="AE51" i="5"/>
  <c r="M51" i="5"/>
  <c r="AW50" i="5"/>
  <c r="AN50" i="5"/>
  <c r="AE50" i="5"/>
  <c r="M50" i="5"/>
  <c r="AW49" i="5"/>
  <c r="AN49" i="5"/>
  <c r="AE49" i="5"/>
  <c r="M49" i="5"/>
  <c r="AW48" i="5"/>
  <c r="AN48" i="5"/>
  <c r="AE48" i="5"/>
  <c r="M48" i="5"/>
  <c r="AW47" i="5"/>
  <c r="AN47" i="5"/>
  <c r="AE47" i="5"/>
  <c r="M47" i="5"/>
  <c r="AW46" i="5"/>
  <c r="AN46" i="5"/>
  <c r="AE46" i="5"/>
  <c r="M46" i="5"/>
  <c r="AW45" i="5"/>
  <c r="AN45" i="5"/>
  <c r="AE45" i="5"/>
  <c r="M45" i="5"/>
  <c r="AW44" i="5"/>
  <c r="AN44" i="5"/>
  <c r="AE44" i="5"/>
  <c r="M44" i="5"/>
  <c r="AW43" i="5"/>
  <c r="AN43" i="5"/>
  <c r="AE43" i="5"/>
  <c r="M43" i="5"/>
  <c r="AW42" i="5"/>
  <c r="AN42" i="5"/>
  <c r="AE42" i="5"/>
  <c r="M42" i="5"/>
  <c r="AW41" i="5"/>
  <c r="AN41" i="5"/>
  <c r="AE41" i="5"/>
  <c r="M41" i="5"/>
  <c r="AW40" i="5"/>
  <c r="AN40" i="5"/>
  <c r="AE40" i="5"/>
  <c r="M40" i="5"/>
  <c r="AW39" i="5"/>
  <c r="AN39" i="5"/>
  <c r="AE39" i="5"/>
  <c r="M39" i="5"/>
  <c r="AW38" i="5"/>
  <c r="AN38" i="5"/>
  <c r="AE38" i="5"/>
  <c r="M38" i="5"/>
  <c r="AW37" i="5"/>
  <c r="AN37" i="5"/>
  <c r="AE37" i="5"/>
  <c r="M37" i="5"/>
  <c r="AW36" i="5"/>
  <c r="AN36" i="5"/>
  <c r="AE36" i="5"/>
  <c r="M36" i="5"/>
  <c r="AW35" i="5"/>
  <c r="AN35" i="5"/>
  <c r="AE35" i="5"/>
  <c r="M35" i="5"/>
  <c r="AW34" i="5"/>
  <c r="AN34" i="5"/>
  <c r="AE34" i="5"/>
  <c r="M34" i="5"/>
  <c r="AW33" i="5"/>
  <c r="AN33" i="5"/>
  <c r="AE33" i="5"/>
  <c r="M33" i="5"/>
  <c r="AW32" i="5"/>
  <c r="AN32" i="5"/>
  <c r="AE32" i="5"/>
  <c r="M32" i="5"/>
  <c r="AW31" i="5"/>
  <c r="AN31" i="5"/>
  <c r="AE31" i="5"/>
  <c r="M31" i="5"/>
  <c r="AW30" i="5"/>
  <c r="AN30" i="5"/>
  <c r="AE30" i="5"/>
  <c r="M30" i="5"/>
  <c r="AW29" i="5"/>
  <c r="AN29" i="5"/>
  <c r="AE29" i="5"/>
  <c r="M29" i="5"/>
  <c r="AW28" i="5"/>
  <c r="AN28" i="5"/>
  <c r="AE28" i="5"/>
  <c r="M28" i="5"/>
  <c r="AW27" i="5"/>
  <c r="AN27" i="5"/>
  <c r="AE27" i="5"/>
  <c r="M27" i="5"/>
  <c r="AW26" i="5"/>
  <c r="AN26" i="5"/>
  <c r="AE26" i="5"/>
  <c r="M26" i="5"/>
  <c r="AW25" i="5"/>
  <c r="AN25" i="5"/>
  <c r="AE25" i="5"/>
  <c r="M25" i="5"/>
  <c r="AW24" i="5"/>
  <c r="AN24" i="5"/>
  <c r="AE24" i="5"/>
  <c r="M24" i="5"/>
  <c r="AW23" i="5"/>
  <c r="AN23" i="5"/>
  <c r="AE23" i="5"/>
  <c r="M23" i="5"/>
  <c r="AW22" i="5"/>
  <c r="AN22" i="5"/>
  <c r="AE22" i="5"/>
  <c r="M22" i="5"/>
  <c r="AW21" i="5"/>
  <c r="AN21" i="5"/>
  <c r="AE21" i="5"/>
  <c r="M21" i="5"/>
  <c r="AW20" i="5"/>
  <c r="AN20" i="5"/>
  <c r="AE20" i="5"/>
  <c r="M20" i="5"/>
  <c r="AW19" i="5"/>
  <c r="AN19" i="5"/>
  <c r="AE19" i="5"/>
  <c r="M19" i="5"/>
  <c r="AW18" i="5"/>
  <c r="AN18" i="5"/>
  <c r="AE18" i="5"/>
  <c r="M18" i="5"/>
  <c r="AW17" i="5"/>
  <c r="AN17" i="5"/>
  <c r="AE17" i="5"/>
  <c r="M17" i="5"/>
  <c r="AW16" i="5"/>
  <c r="AN16" i="5"/>
  <c r="AE16" i="5"/>
  <c r="M16" i="5"/>
  <c r="AW15" i="5"/>
  <c r="AN15" i="5"/>
  <c r="AE15" i="5"/>
  <c r="M15" i="5"/>
  <c r="AW14" i="5"/>
  <c r="AN14" i="5"/>
  <c r="AE14" i="5"/>
  <c r="M14" i="5"/>
  <c r="AW13" i="5"/>
  <c r="AN13" i="5"/>
  <c r="AE13" i="5"/>
  <c r="M13" i="5"/>
  <c r="AW12" i="5"/>
  <c r="AN12" i="5"/>
  <c r="AE12" i="5"/>
  <c r="M12" i="5"/>
  <c r="AW11" i="5"/>
  <c r="AN11" i="5"/>
  <c r="AE11" i="5"/>
  <c r="M11" i="5"/>
  <c r="AW10" i="5"/>
  <c r="AN10" i="5"/>
  <c r="AE10" i="5"/>
  <c r="M10" i="5"/>
  <c r="AW9" i="5"/>
  <c r="AN9" i="5"/>
  <c r="AE9" i="5"/>
  <c r="M9" i="5"/>
  <c r="AW8" i="5"/>
  <c r="AN8" i="5"/>
  <c r="AE8" i="5"/>
  <c r="M8" i="5"/>
  <c r="AW7" i="5"/>
  <c r="AN7" i="5"/>
  <c r="AE7" i="5"/>
  <c r="M7" i="5"/>
  <c r="AW6" i="5"/>
  <c r="AN6" i="5"/>
  <c r="AE6" i="5"/>
  <c r="M6" i="5"/>
  <c r="AW5" i="5"/>
  <c r="AN5" i="5"/>
  <c r="AE5" i="5"/>
  <c r="M5" i="5"/>
  <c r="AW85" i="4"/>
  <c r="AN85" i="4"/>
  <c r="AE85" i="4"/>
  <c r="M85" i="4"/>
  <c r="AW84" i="4"/>
  <c r="AN84" i="4"/>
  <c r="AE84" i="4"/>
  <c r="M84" i="4"/>
  <c r="AW83" i="4"/>
  <c r="AN83" i="4"/>
  <c r="AE83" i="4"/>
  <c r="M83" i="4"/>
  <c r="AW82" i="4"/>
  <c r="AN82" i="4"/>
  <c r="AE82" i="4"/>
  <c r="M82" i="4"/>
  <c r="AW81" i="4"/>
  <c r="AN81" i="4"/>
  <c r="AE81" i="4"/>
  <c r="M81" i="4"/>
  <c r="AW80" i="4"/>
  <c r="AN80" i="4"/>
  <c r="AE80" i="4"/>
  <c r="M80" i="4"/>
  <c r="AW79" i="4"/>
  <c r="AN79" i="4"/>
  <c r="AE79" i="4"/>
  <c r="M79" i="4"/>
  <c r="AW78" i="4"/>
  <c r="AN78" i="4"/>
  <c r="AE78" i="4"/>
  <c r="M78" i="4"/>
  <c r="AW77" i="4"/>
  <c r="AN77" i="4"/>
  <c r="AE77" i="4"/>
  <c r="M77" i="4"/>
  <c r="AW76" i="4"/>
  <c r="AN76" i="4"/>
  <c r="AE76" i="4"/>
  <c r="M76" i="4"/>
  <c r="AW75" i="4"/>
  <c r="AN75" i="4"/>
  <c r="AE75" i="4"/>
  <c r="M75" i="4"/>
  <c r="AW74" i="4"/>
  <c r="AN74" i="4"/>
  <c r="AE74" i="4"/>
  <c r="M74" i="4"/>
  <c r="AW73" i="4"/>
  <c r="AN73" i="4"/>
  <c r="AE73" i="4"/>
  <c r="M73" i="4"/>
  <c r="AW72" i="4"/>
  <c r="AN72" i="4"/>
  <c r="AE72" i="4"/>
  <c r="M72" i="4"/>
  <c r="AW71" i="4"/>
  <c r="AN71" i="4"/>
  <c r="AE71" i="4"/>
  <c r="M71" i="4"/>
  <c r="AW70" i="4"/>
  <c r="AN70" i="4"/>
  <c r="AE70" i="4"/>
  <c r="M70" i="4"/>
  <c r="AW69" i="4"/>
  <c r="AN69" i="4"/>
  <c r="AE69" i="4"/>
  <c r="M69" i="4"/>
  <c r="AW68" i="4"/>
  <c r="AN68" i="4"/>
  <c r="AE68" i="4"/>
  <c r="M68" i="4"/>
  <c r="AW67" i="4"/>
  <c r="AN67" i="4"/>
  <c r="AE67" i="4"/>
  <c r="M67" i="4"/>
  <c r="AW66" i="4"/>
  <c r="AN66" i="4"/>
  <c r="AE66" i="4"/>
  <c r="M66" i="4"/>
  <c r="AW65" i="4"/>
  <c r="AN65" i="4"/>
  <c r="AE65" i="4"/>
  <c r="M65" i="4"/>
  <c r="AW64" i="4"/>
  <c r="AN64" i="4"/>
  <c r="AE64" i="4"/>
  <c r="M64" i="4"/>
  <c r="AW63" i="4"/>
  <c r="AN63" i="4"/>
  <c r="AE63" i="4"/>
  <c r="M63" i="4"/>
  <c r="AW62" i="4"/>
  <c r="AN62" i="4"/>
  <c r="AE62" i="4"/>
  <c r="M62" i="4"/>
  <c r="AW61" i="4"/>
  <c r="AN61" i="4"/>
  <c r="AE61" i="4"/>
  <c r="M61" i="4"/>
  <c r="AW60" i="4"/>
  <c r="AN60" i="4"/>
  <c r="AE60" i="4"/>
  <c r="M60" i="4"/>
  <c r="AW59" i="4"/>
  <c r="AN59" i="4"/>
  <c r="AE59" i="4"/>
  <c r="M59" i="4"/>
  <c r="AW58" i="4"/>
  <c r="AN58" i="4"/>
  <c r="AE58" i="4"/>
  <c r="M58" i="4"/>
  <c r="AW57" i="4"/>
  <c r="AN57" i="4"/>
  <c r="AE57" i="4"/>
  <c r="M57" i="4"/>
  <c r="AW56" i="4"/>
  <c r="AN56" i="4"/>
  <c r="AE56" i="4"/>
  <c r="M56" i="4"/>
  <c r="AW55" i="4"/>
  <c r="AN55" i="4"/>
  <c r="AE55" i="4"/>
  <c r="M55" i="4"/>
  <c r="AW54" i="4"/>
  <c r="AN54" i="4"/>
  <c r="AE54" i="4"/>
  <c r="M54" i="4"/>
  <c r="AW53" i="4"/>
  <c r="AN53" i="4"/>
  <c r="AE53" i="4"/>
  <c r="M53" i="4"/>
  <c r="AW52" i="4"/>
  <c r="AN52" i="4"/>
  <c r="AE52" i="4"/>
  <c r="M52" i="4"/>
  <c r="AW51" i="4"/>
  <c r="AN51" i="4"/>
  <c r="AE51" i="4"/>
  <c r="M51" i="4"/>
  <c r="AW50" i="4"/>
  <c r="AN50" i="4"/>
  <c r="AE50" i="4"/>
  <c r="M50" i="4"/>
  <c r="AW49" i="4"/>
  <c r="AN49" i="4"/>
  <c r="AE49" i="4"/>
  <c r="M49" i="4"/>
  <c r="AW48" i="4"/>
  <c r="AN48" i="4"/>
  <c r="AE48" i="4"/>
  <c r="M48" i="4"/>
  <c r="AW47" i="4"/>
  <c r="AN47" i="4"/>
  <c r="AE47" i="4"/>
  <c r="M47" i="4"/>
  <c r="AW46" i="4"/>
  <c r="AN46" i="4"/>
  <c r="AE46" i="4"/>
  <c r="M46" i="4"/>
  <c r="AW45" i="4"/>
  <c r="AN45" i="4"/>
  <c r="AE45" i="4"/>
  <c r="M45" i="4"/>
  <c r="AW44" i="4"/>
  <c r="AN44" i="4"/>
  <c r="AE44" i="4"/>
  <c r="M44" i="4"/>
  <c r="AW43" i="4"/>
  <c r="AN43" i="4"/>
  <c r="AE43" i="4"/>
  <c r="M43" i="4"/>
  <c r="AW42" i="4"/>
  <c r="AN42" i="4"/>
  <c r="AE42" i="4"/>
  <c r="M42" i="4"/>
  <c r="AW41" i="4"/>
  <c r="AN41" i="4"/>
  <c r="AE41" i="4"/>
  <c r="M41" i="4"/>
  <c r="AW40" i="4"/>
  <c r="AN40" i="4"/>
  <c r="AE40" i="4"/>
  <c r="M40" i="4"/>
  <c r="AW39" i="4"/>
  <c r="AN39" i="4"/>
  <c r="AE39" i="4"/>
  <c r="M39" i="4"/>
  <c r="AW38" i="4"/>
  <c r="AN38" i="4"/>
  <c r="AE38" i="4"/>
  <c r="M38" i="4"/>
  <c r="AW37" i="4"/>
  <c r="AN37" i="4"/>
  <c r="AE37" i="4"/>
  <c r="M37" i="4"/>
  <c r="AW36" i="4"/>
  <c r="AN36" i="4"/>
  <c r="AE36" i="4"/>
  <c r="M36" i="4"/>
  <c r="AW35" i="4"/>
  <c r="AN35" i="4"/>
  <c r="AE35" i="4"/>
  <c r="M35" i="4"/>
  <c r="AW34" i="4"/>
  <c r="AN34" i="4"/>
  <c r="AE34" i="4"/>
  <c r="M34" i="4"/>
  <c r="AW33" i="4"/>
  <c r="AN33" i="4"/>
  <c r="AE33" i="4"/>
  <c r="M33" i="4"/>
  <c r="AW32" i="4"/>
  <c r="AN32" i="4"/>
  <c r="AE32" i="4"/>
  <c r="M32" i="4"/>
  <c r="AW31" i="4"/>
  <c r="AN31" i="4"/>
  <c r="AE31" i="4"/>
  <c r="M31" i="4"/>
  <c r="AW30" i="4"/>
  <c r="AN30" i="4"/>
  <c r="AE30" i="4"/>
  <c r="M30" i="4"/>
  <c r="AW29" i="4"/>
  <c r="AN29" i="4"/>
  <c r="AE29" i="4"/>
  <c r="M29" i="4"/>
  <c r="AW28" i="4"/>
  <c r="AN28" i="4"/>
  <c r="AE28" i="4"/>
  <c r="M28" i="4"/>
  <c r="AW27" i="4"/>
  <c r="AN27" i="4"/>
  <c r="AE27" i="4"/>
  <c r="M27" i="4"/>
  <c r="AW26" i="4"/>
  <c r="AN26" i="4"/>
  <c r="AE26" i="4"/>
  <c r="M26" i="4"/>
  <c r="AW25" i="4"/>
  <c r="AN25" i="4"/>
  <c r="AE25" i="4"/>
  <c r="M25" i="4"/>
  <c r="AW24" i="4"/>
  <c r="AN24" i="4"/>
  <c r="AE24" i="4"/>
  <c r="M24" i="4"/>
  <c r="AW23" i="4"/>
  <c r="AN23" i="4"/>
  <c r="AE23" i="4"/>
  <c r="M23" i="4"/>
  <c r="AW22" i="4"/>
  <c r="AN22" i="4"/>
  <c r="AE22" i="4"/>
  <c r="M22" i="4"/>
  <c r="AW21" i="4"/>
  <c r="AN21" i="4"/>
  <c r="AE21" i="4"/>
  <c r="M21" i="4"/>
  <c r="AW20" i="4"/>
  <c r="AN20" i="4"/>
  <c r="AE20" i="4"/>
  <c r="M20" i="4"/>
  <c r="AW19" i="4"/>
  <c r="AN19" i="4"/>
  <c r="AE19" i="4"/>
  <c r="M19" i="4"/>
  <c r="AW18" i="4"/>
  <c r="AN18" i="4"/>
  <c r="AE18" i="4"/>
  <c r="M18" i="4"/>
  <c r="AW17" i="4"/>
  <c r="AN17" i="4"/>
  <c r="AE17" i="4"/>
  <c r="M17" i="4"/>
  <c r="AW16" i="4"/>
  <c r="AN16" i="4"/>
  <c r="AE16" i="4"/>
  <c r="M16" i="4"/>
  <c r="AW15" i="4"/>
  <c r="AN15" i="4"/>
  <c r="AE15" i="4"/>
  <c r="M15" i="4"/>
  <c r="AW14" i="4"/>
  <c r="AN14" i="4"/>
  <c r="AE14" i="4"/>
  <c r="M14" i="4"/>
  <c r="AW13" i="4"/>
  <c r="AN13" i="4"/>
  <c r="AE13" i="4"/>
  <c r="M13" i="4"/>
  <c r="AW12" i="4"/>
  <c r="AN12" i="4"/>
  <c r="AE12" i="4"/>
  <c r="M12" i="4"/>
  <c r="AW11" i="4"/>
  <c r="AN11" i="4"/>
  <c r="AE11" i="4"/>
  <c r="M11" i="4"/>
  <c r="AW10" i="4"/>
  <c r="AN10" i="4"/>
  <c r="AE10" i="4"/>
  <c r="M10" i="4"/>
  <c r="AW9" i="4"/>
  <c r="AN9" i="4"/>
  <c r="AE9" i="4"/>
  <c r="M9" i="4"/>
  <c r="AW8" i="4"/>
  <c r="AN8" i="4"/>
  <c r="AE8" i="4"/>
  <c r="M8" i="4"/>
  <c r="AW7" i="4"/>
  <c r="AN7" i="4"/>
  <c r="AE7" i="4"/>
  <c r="M7" i="4"/>
  <c r="AW6" i="4"/>
  <c r="AN6" i="4"/>
  <c r="AE6" i="4"/>
  <c r="M6" i="4"/>
  <c r="AW5" i="4"/>
  <c r="AN5" i="4"/>
  <c r="AE5" i="4"/>
  <c r="M5" i="4"/>
  <c r="AW67" i="3"/>
  <c r="AN67" i="3"/>
  <c r="AE67" i="3"/>
  <c r="M67" i="3"/>
  <c r="AW66" i="3"/>
  <c r="AN66" i="3"/>
  <c r="AE66" i="3"/>
  <c r="M66" i="3"/>
  <c r="AW65" i="3"/>
  <c r="AN65" i="3"/>
  <c r="AE65" i="3"/>
  <c r="M65" i="3"/>
  <c r="AW64" i="3"/>
  <c r="AN64" i="3"/>
  <c r="AE64" i="3"/>
  <c r="M64" i="3"/>
  <c r="AW63" i="3"/>
  <c r="AN63" i="3"/>
  <c r="AE63" i="3"/>
  <c r="M63" i="3"/>
  <c r="AW62" i="3"/>
  <c r="AN62" i="3"/>
  <c r="AE62" i="3"/>
  <c r="M62" i="3"/>
  <c r="AW61" i="3"/>
  <c r="AN61" i="3"/>
  <c r="AE61" i="3"/>
  <c r="M61" i="3"/>
  <c r="AW60" i="3"/>
  <c r="AN60" i="3"/>
  <c r="AE60" i="3"/>
  <c r="M60" i="3"/>
  <c r="AW59" i="3"/>
  <c r="AN59" i="3"/>
  <c r="AE59" i="3"/>
  <c r="M59" i="3"/>
  <c r="AW58" i="3"/>
  <c r="AN58" i="3"/>
  <c r="AE58" i="3"/>
  <c r="M58" i="3"/>
  <c r="AW57" i="3"/>
  <c r="AN57" i="3"/>
  <c r="AE57" i="3"/>
  <c r="M57" i="3"/>
  <c r="AW56" i="3"/>
  <c r="AN56" i="3"/>
  <c r="AE56" i="3"/>
  <c r="M56" i="3"/>
  <c r="AW55" i="3"/>
  <c r="AN55" i="3"/>
  <c r="AE55" i="3"/>
  <c r="M55" i="3"/>
  <c r="AW54" i="3"/>
  <c r="AN54" i="3"/>
  <c r="AE54" i="3"/>
  <c r="M54" i="3"/>
  <c r="AW53" i="3"/>
  <c r="AN53" i="3"/>
  <c r="AE53" i="3"/>
  <c r="M53" i="3"/>
  <c r="AW52" i="3"/>
  <c r="AN52" i="3"/>
  <c r="AE52" i="3"/>
  <c r="M52" i="3"/>
  <c r="AW51" i="3"/>
  <c r="AN51" i="3"/>
  <c r="AE51" i="3"/>
  <c r="M51" i="3"/>
  <c r="AW50" i="3"/>
  <c r="AN50" i="3"/>
  <c r="AE50" i="3"/>
  <c r="M50" i="3"/>
  <c r="AW49" i="3"/>
  <c r="AN49" i="3"/>
  <c r="AE49" i="3"/>
  <c r="M49" i="3"/>
  <c r="AW48" i="3"/>
  <c r="AN48" i="3"/>
  <c r="AE48" i="3"/>
  <c r="M48" i="3"/>
  <c r="AW47" i="3"/>
  <c r="AN47" i="3"/>
  <c r="AE47" i="3"/>
  <c r="M47" i="3"/>
  <c r="AW46" i="3"/>
  <c r="AN46" i="3"/>
  <c r="AE46" i="3"/>
  <c r="M46" i="3"/>
  <c r="AW45" i="3"/>
  <c r="AN45" i="3"/>
  <c r="AE45" i="3"/>
  <c r="M45" i="3"/>
  <c r="AW44" i="3"/>
  <c r="AN44" i="3"/>
  <c r="AE44" i="3"/>
  <c r="M44" i="3"/>
  <c r="AW43" i="3"/>
  <c r="AN43" i="3"/>
  <c r="AE43" i="3"/>
  <c r="M43" i="3"/>
  <c r="AW42" i="3"/>
  <c r="AN42" i="3"/>
  <c r="AE42" i="3"/>
  <c r="M42" i="3"/>
  <c r="AW41" i="3"/>
  <c r="AN41" i="3"/>
  <c r="AE41" i="3"/>
  <c r="M41" i="3"/>
  <c r="AW40" i="3"/>
  <c r="AN40" i="3"/>
  <c r="AE40" i="3"/>
  <c r="M40" i="3"/>
  <c r="AW39" i="3"/>
  <c r="AN39" i="3"/>
  <c r="AE39" i="3"/>
  <c r="M39" i="3"/>
  <c r="AW38" i="3"/>
  <c r="AN38" i="3"/>
  <c r="AE38" i="3"/>
  <c r="M38" i="3"/>
  <c r="AW37" i="3"/>
  <c r="AN37" i="3"/>
  <c r="AE37" i="3"/>
  <c r="M37" i="3"/>
  <c r="AW36" i="3"/>
  <c r="AN36" i="3"/>
  <c r="AE36" i="3"/>
  <c r="M36" i="3"/>
  <c r="AW35" i="3"/>
  <c r="AN35" i="3"/>
  <c r="AE35" i="3"/>
  <c r="M35" i="3"/>
  <c r="AW34" i="3"/>
  <c r="AN34" i="3"/>
  <c r="AE34" i="3"/>
  <c r="M34" i="3"/>
  <c r="AW33" i="3"/>
  <c r="AN33" i="3"/>
  <c r="AE33" i="3"/>
  <c r="M33" i="3"/>
  <c r="AW32" i="3"/>
  <c r="AN32" i="3"/>
  <c r="AE32" i="3"/>
  <c r="M32" i="3"/>
  <c r="AW31" i="3"/>
  <c r="AN31" i="3"/>
  <c r="AE31" i="3"/>
  <c r="M31" i="3"/>
  <c r="AW30" i="3"/>
  <c r="AN30" i="3"/>
  <c r="AE30" i="3"/>
  <c r="M30" i="3"/>
  <c r="AW29" i="3"/>
  <c r="AN29" i="3"/>
  <c r="AE29" i="3"/>
  <c r="M29" i="3"/>
  <c r="AW28" i="3"/>
  <c r="AN28" i="3"/>
  <c r="AE28" i="3"/>
  <c r="M28" i="3"/>
  <c r="AW27" i="3"/>
  <c r="AN27" i="3"/>
  <c r="AE27" i="3"/>
  <c r="M27" i="3"/>
  <c r="AW26" i="3"/>
  <c r="AN26" i="3"/>
  <c r="AE26" i="3"/>
  <c r="M26" i="3"/>
  <c r="AW25" i="3"/>
  <c r="AN25" i="3"/>
  <c r="AE25" i="3"/>
  <c r="M25" i="3"/>
  <c r="AW24" i="3"/>
  <c r="AN24" i="3"/>
  <c r="AE24" i="3"/>
  <c r="M24" i="3"/>
  <c r="AW23" i="3"/>
  <c r="AN23" i="3"/>
  <c r="AE23" i="3"/>
  <c r="M23" i="3"/>
  <c r="AW22" i="3"/>
  <c r="AN22" i="3"/>
  <c r="AE22" i="3"/>
  <c r="M22" i="3"/>
  <c r="AW21" i="3"/>
  <c r="AN21" i="3"/>
  <c r="AE21" i="3"/>
  <c r="M21" i="3"/>
  <c r="AW20" i="3"/>
  <c r="AN20" i="3"/>
  <c r="AE20" i="3"/>
  <c r="M20" i="3"/>
  <c r="AW19" i="3"/>
  <c r="AN19" i="3"/>
  <c r="AE19" i="3"/>
  <c r="M19" i="3"/>
  <c r="AW18" i="3"/>
  <c r="AN18" i="3"/>
  <c r="AE18" i="3"/>
  <c r="M18" i="3"/>
  <c r="AW17" i="3"/>
  <c r="AN17" i="3"/>
  <c r="AE17" i="3"/>
  <c r="M17" i="3"/>
  <c r="AW16" i="3"/>
  <c r="AN16" i="3"/>
  <c r="AE16" i="3"/>
  <c r="M16" i="3"/>
  <c r="AW15" i="3"/>
  <c r="AN15" i="3"/>
  <c r="AE15" i="3"/>
  <c r="M15" i="3"/>
  <c r="AW14" i="3"/>
  <c r="AN14" i="3"/>
  <c r="AE14" i="3"/>
  <c r="M14" i="3"/>
  <c r="AW13" i="3"/>
  <c r="AN13" i="3"/>
  <c r="AE13" i="3"/>
  <c r="M13" i="3"/>
  <c r="AW12" i="3"/>
  <c r="AN12" i="3"/>
  <c r="AE12" i="3"/>
  <c r="M12" i="3"/>
  <c r="AW11" i="3"/>
  <c r="T7" i="1" s="1"/>
  <c r="AN11" i="3"/>
  <c r="AE11" i="3"/>
  <c r="M11" i="3"/>
  <c r="AW10" i="3"/>
  <c r="AN10" i="3"/>
  <c r="AE10" i="3"/>
  <c r="M10" i="3"/>
  <c r="AW9" i="3"/>
  <c r="AN9" i="3"/>
  <c r="AE9" i="3"/>
  <c r="M9" i="3"/>
  <c r="AW8" i="3"/>
  <c r="AN8" i="3"/>
  <c r="P7" i="1" s="1"/>
  <c r="AE8" i="3"/>
  <c r="M8" i="3"/>
  <c r="AW7" i="3"/>
  <c r="AN7" i="3"/>
  <c r="AE7" i="3"/>
  <c r="M7" i="3"/>
  <c r="AW6" i="3"/>
  <c r="AN6" i="3"/>
  <c r="AE6" i="3"/>
  <c r="M6" i="3"/>
  <c r="AW5" i="3"/>
  <c r="AN5" i="3"/>
  <c r="AE5" i="3"/>
  <c r="M5" i="3"/>
  <c r="AW288" i="2"/>
  <c r="AN288" i="2"/>
  <c r="AE288" i="2"/>
  <c r="M288" i="2"/>
  <c r="AW287" i="2"/>
  <c r="AN287" i="2"/>
  <c r="AE287" i="2"/>
  <c r="M287" i="2"/>
  <c r="AW286" i="2"/>
  <c r="AN286" i="2"/>
  <c r="AE286" i="2"/>
  <c r="M286" i="2"/>
  <c r="AW285" i="2"/>
  <c r="AN285" i="2"/>
  <c r="AE285" i="2"/>
  <c r="M285" i="2"/>
  <c r="AW284" i="2"/>
  <c r="AN284" i="2"/>
  <c r="AE284" i="2"/>
  <c r="M284" i="2"/>
  <c r="AW283" i="2"/>
  <c r="AN283" i="2"/>
  <c r="AE283" i="2"/>
  <c r="M283" i="2"/>
  <c r="AW282" i="2"/>
  <c r="AN282" i="2"/>
  <c r="AE282" i="2"/>
  <c r="M282" i="2"/>
  <c r="AW281" i="2"/>
  <c r="AN281" i="2"/>
  <c r="AE281" i="2"/>
  <c r="M281" i="2"/>
  <c r="AW280" i="2"/>
  <c r="AN280" i="2"/>
  <c r="AE280" i="2"/>
  <c r="M280" i="2"/>
  <c r="AW279" i="2"/>
  <c r="AN279" i="2"/>
  <c r="AE279" i="2"/>
  <c r="M279" i="2"/>
  <c r="AW278" i="2"/>
  <c r="AN278" i="2"/>
  <c r="AE278" i="2"/>
  <c r="M278" i="2"/>
  <c r="AW277" i="2"/>
  <c r="AN277" i="2"/>
  <c r="AE277" i="2"/>
  <c r="M277" i="2"/>
  <c r="AW276" i="2"/>
  <c r="AN276" i="2"/>
  <c r="AE276" i="2"/>
  <c r="M276" i="2"/>
  <c r="AW275" i="2"/>
  <c r="AN275" i="2"/>
  <c r="AE275" i="2"/>
  <c r="M275" i="2"/>
  <c r="AW274" i="2"/>
  <c r="AN274" i="2"/>
  <c r="AE274" i="2"/>
  <c r="M274" i="2"/>
  <c r="AW273" i="2"/>
  <c r="AN273" i="2"/>
  <c r="AE273" i="2"/>
  <c r="M273" i="2"/>
  <c r="AW272" i="2"/>
  <c r="AN272" i="2"/>
  <c r="AE272" i="2"/>
  <c r="M272" i="2"/>
  <c r="AW271" i="2"/>
  <c r="AN271" i="2"/>
  <c r="AE271" i="2"/>
  <c r="M271" i="2"/>
  <c r="AW270" i="2"/>
  <c r="AN270" i="2"/>
  <c r="AE270" i="2"/>
  <c r="AW269" i="2"/>
  <c r="AN269" i="2"/>
  <c r="AE269" i="2"/>
  <c r="M269" i="2"/>
  <c r="AW268" i="2"/>
  <c r="AN268" i="2"/>
  <c r="AE268" i="2"/>
  <c r="M268" i="2"/>
  <c r="AW267" i="2"/>
  <c r="AN267" i="2"/>
  <c r="AE267" i="2"/>
  <c r="M267" i="2"/>
  <c r="AW266" i="2"/>
  <c r="AN266" i="2"/>
  <c r="AE266" i="2"/>
  <c r="M266" i="2"/>
  <c r="AW265" i="2"/>
  <c r="AN265" i="2"/>
  <c r="AE265" i="2"/>
  <c r="M265" i="2"/>
  <c r="AW264" i="2"/>
  <c r="AN264" i="2"/>
  <c r="AE264" i="2"/>
  <c r="M264" i="2"/>
  <c r="AW263" i="2"/>
  <c r="AN263" i="2"/>
  <c r="AE263" i="2"/>
  <c r="M263" i="2"/>
  <c r="AW262" i="2"/>
  <c r="AN262" i="2"/>
  <c r="AE262" i="2"/>
  <c r="M262" i="2"/>
  <c r="AW261" i="2"/>
  <c r="AN261" i="2"/>
  <c r="AE261" i="2"/>
  <c r="M261" i="2"/>
  <c r="AW260" i="2"/>
  <c r="AN260" i="2"/>
  <c r="AE260" i="2"/>
  <c r="M260" i="2"/>
  <c r="AW259" i="2"/>
  <c r="AN259" i="2"/>
  <c r="AE259" i="2"/>
  <c r="M259" i="2"/>
  <c r="AW258" i="2"/>
  <c r="AN258" i="2"/>
  <c r="AE258" i="2"/>
  <c r="M258" i="2"/>
  <c r="AW257" i="2"/>
  <c r="AN257" i="2"/>
  <c r="AE257" i="2"/>
  <c r="M257" i="2"/>
  <c r="AW256" i="2"/>
  <c r="AN256" i="2"/>
  <c r="AE256" i="2"/>
  <c r="M256" i="2"/>
  <c r="AW255" i="2"/>
  <c r="AN255" i="2"/>
  <c r="AE255" i="2"/>
  <c r="M255" i="2"/>
  <c r="AW254" i="2"/>
  <c r="AN254" i="2"/>
  <c r="AE254" i="2"/>
  <c r="M254" i="2"/>
  <c r="AW253" i="2"/>
  <c r="AN253" i="2"/>
  <c r="AE253" i="2"/>
  <c r="M253" i="2"/>
  <c r="AW252" i="2"/>
  <c r="AN252" i="2"/>
  <c r="AE252" i="2"/>
  <c r="M252" i="2"/>
  <c r="AW251" i="2"/>
  <c r="AN251" i="2"/>
  <c r="AE251" i="2"/>
  <c r="M251" i="2"/>
  <c r="AW250" i="2"/>
  <c r="AN250" i="2"/>
  <c r="AE250" i="2"/>
  <c r="M250" i="2"/>
  <c r="AW249" i="2"/>
  <c r="AN249" i="2"/>
  <c r="AE249" i="2"/>
  <c r="M249" i="2"/>
  <c r="AW248" i="2"/>
  <c r="AN248" i="2"/>
  <c r="AE248" i="2"/>
  <c r="M248" i="2"/>
  <c r="AW247" i="2"/>
  <c r="AN247" i="2"/>
  <c r="AE247" i="2"/>
  <c r="M247" i="2"/>
  <c r="AW246" i="2"/>
  <c r="AN246" i="2"/>
  <c r="AE246" i="2"/>
  <c r="M246" i="2"/>
  <c r="AW245" i="2"/>
  <c r="AN245" i="2"/>
  <c r="AE245" i="2"/>
  <c r="M245" i="2"/>
  <c r="AW244" i="2"/>
  <c r="AN244" i="2"/>
  <c r="AE244" i="2"/>
  <c r="M244" i="2"/>
  <c r="AW243" i="2"/>
  <c r="AN243" i="2"/>
  <c r="AE243" i="2"/>
  <c r="M243" i="2"/>
  <c r="AW242" i="2"/>
  <c r="AN242" i="2"/>
  <c r="AE242" i="2"/>
  <c r="M242" i="2"/>
  <c r="AW241" i="2"/>
  <c r="AN241" i="2"/>
  <c r="AE241" i="2"/>
  <c r="M241" i="2"/>
  <c r="AW240" i="2"/>
  <c r="AN240" i="2"/>
  <c r="AE240" i="2"/>
  <c r="M240" i="2"/>
  <c r="AW239" i="2"/>
  <c r="AN239" i="2"/>
  <c r="AE239" i="2"/>
  <c r="M239" i="2"/>
  <c r="AW238" i="2"/>
  <c r="AN238" i="2"/>
  <c r="AE238" i="2"/>
  <c r="M238" i="2"/>
  <c r="AW237" i="2"/>
  <c r="AN237" i="2"/>
  <c r="AE237" i="2"/>
  <c r="M237" i="2"/>
  <c r="AW236" i="2"/>
  <c r="AN236" i="2"/>
  <c r="AE236" i="2"/>
  <c r="M236" i="2"/>
  <c r="AW235" i="2"/>
  <c r="AN235" i="2"/>
  <c r="AE235" i="2"/>
  <c r="M235" i="2"/>
  <c r="AW234" i="2"/>
  <c r="AN234" i="2"/>
  <c r="AE234" i="2"/>
  <c r="M234" i="2"/>
  <c r="AW233" i="2"/>
  <c r="AN233" i="2"/>
  <c r="AE233" i="2"/>
  <c r="M233" i="2"/>
  <c r="AW232" i="2"/>
  <c r="AN232" i="2"/>
  <c r="AE232" i="2"/>
  <c r="M232" i="2"/>
  <c r="AW231" i="2"/>
  <c r="AN231" i="2"/>
  <c r="AE231" i="2"/>
  <c r="M231" i="2"/>
  <c r="AW230" i="2"/>
  <c r="AN230" i="2"/>
  <c r="AE230" i="2"/>
  <c r="M230" i="2"/>
  <c r="AW229" i="2"/>
  <c r="AN229" i="2"/>
  <c r="AE229" i="2"/>
  <c r="M229" i="2"/>
  <c r="AW228" i="2"/>
  <c r="AN228" i="2"/>
  <c r="AE228" i="2"/>
  <c r="M228" i="2"/>
  <c r="AW227" i="2"/>
  <c r="AN227" i="2"/>
  <c r="AE227" i="2"/>
  <c r="M227" i="2"/>
  <c r="AW226" i="2"/>
  <c r="AN226" i="2"/>
  <c r="AE226" i="2"/>
  <c r="M226" i="2"/>
  <c r="AW225" i="2"/>
  <c r="AN225" i="2"/>
  <c r="AE225" i="2"/>
  <c r="M225" i="2"/>
  <c r="AW224" i="2"/>
  <c r="AN224" i="2"/>
  <c r="AE224" i="2"/>
  <c r="M224" i="2"/>
  <c r="AW223" i="2"/>
  <c r="AN223" i="2"/>
  <c r="AE223" i="2"/>
  <c r="M223" i="2"/>
  <c r="AW222" i="2"/>
  <c r="AN222" i="2"/>
  <c r="AE222" i="2"/>
  <c r="M222" i="2"/>
  <c r="AW221" i="2"/>
  <c r="AN221" i="2"/>
  <c r="AE221" i="2"/>
  <c r="M221" i="2"/>
  <c r="AW220" i="2"/>
  <c r="AN220" i="2"/>
  <c r="AE220" i="2"/>
  <c r="M220" i="2"/>
  <c r="AW219" i="2"/>
  <c r="AN219" i="2"/>
  <c r="AE219" i="2"/>
  <c r="M219" i="2"/>
  <c r="AW218" i="2"/>
  <c r="AN218" i="2"/>
  <c r="AE218" i="2"/>
  <c r="M218" i="2"/>
  <c r="AW217" i="2"/>
  <c r="AN217" i="2"/>
  <c r="AE217" i="2"/>
  <c r="M217" i="2"/>
  <c r="AW216" i="2"/>
  <c r="AN216" i="2"/>
  <c r="AE216" i="2"/>
  <c r="M216" i="2"/>
  <c r="AW215" i="2"/>
  <c r="AN215" i="2"/>
  <c r="AE215" i="2"/>
  <c r="M215" i="2"/>
  <c r="AW214" i="2"/>
  <c r="AN214" i="2"/>
  <c r="AE214" i="2"/>
  <c r="M214" i="2"/>
  <c r="AW213" i="2"/>
  <c r="AN213" i="2"/>
  <c r="AE213" i="2"/>
  <c r="M213" i="2"/>
  <c r="AW212" i="2"/>
  <c r="AN212" i="2"/>
  <c r="AE212" i="2"/>
  <c r="M212" i="2"/>
  <c r="AW211" i="2"/>
  <c r="AN211" i="2"/>
  <c r="AE211" i="2"/>
  <c r="M211" i="2"/>
  <c r="AW210" i="2"/>
  <c r="AN210" i="2"/>
  <c r="AE210" i="2"/>
  <c r="M210" i="2"/>
  <c r="AW209" i="2"/>
  <c r="AN209" i="2"/>
  <c r="AE209" i="2"/>
  <c r="M209" i="2"/>
  <c r="AW208" i="2"/>
  <c r="AN208" i="2"/>
  <c r="AE208" i="2"/>
  <c r="M208" i="2"/>
  <c r="AW207" i="2"/>
  <c r="AN207" i="2"/>
  <c r="AE207" i="2"/>
  <c r="M207" i="2"/>
  <c r="AW206" i="2"/>
  <c r="AN206" i="2"/>
  <c r="AE206" i="2"/>
  <c r="M206" i="2"/>
  <c r="AW205" i="2"/>
  <c r="AN205" i="2"/>
  <c r="AE205" i="2"/>
  <c r="M205" i="2"/>
  <c r="AW204" i="2"/>
  <c r="AN204" i="2"/>
  <c r="AE204" i="2"/>
  <c r="M204" i="2"/>
  <c r="AW203" i="2"/>
  <c r="AN203" i="2"/>
  <c r="AE203" i="2"/>
  <c r="M203" i="2"/>
  <c r="AW202" i="2"/>
  <c r="AN202" i="2"/>
  <c r="AE202" i="2"/>
  <c r="M202" i="2"/>
  <c r="AW201" i="2"/>
  <c r="AN201" i="2"/>
  <c r="AE201" i="2"/>
  <c r="M201" i="2"/>
  <c r="AW200" i="2"/>
  <c r="AN200" i="2"/>
  <c r="AE200" i="2"/>
  <c r="M200" i="2"/>
  <c r="AW199" i="2"/>
  <c r="AN199" i="2"/>
  <c r="AE199" i="2"/>
  <c r="M199" i="2"/>
  <c r="AW198" i="2"/>
  <c r="AN198" i="2"/>
  <c r="AE198" i="2"/>
  <c r="M198" i="2"/>
  <c r="AW197" i="2"/>
  <c r="AN197" i="2"/>
  <c r="AE197" i="2"/>
  <c r="M197" i="2"/>
  <c r="AW196" i="2"/>
  <c r="AN196" i="2"/>
  <c r="AE196" i="2"/>
  <c r="M196" i="2"/>
  <c r="AW195" i="2"/>
  <c r="AN195" i="2"/>
  <c r="AE195" i="2"/>
  <c r="M195" i="2"/>
  <c r="AW194" i="2"/>
  <c r="AN194" i="2"/>
  <c r="AE194" i="2"/>
  <c r="M194" i="2"/>
  <c r="AW193" i="2"/>
  <c r="AN193" i="2"/>
  <c r="AE193" i="2"/>
  <c r="M193" i="2"/>
  <c r="AW192" i="2"/>
  <c r="AN192" i="2"/>
  <c r="AE192" i="2"/>
  <c r="M192" i="2"/>
  <c r="AW191" i="2"/>
  <c r="AN191" i="2"/>
  <c r="AE191" i="2"/>
  <c r="M191" i="2"/>
  <c r="AW190" i="2"/>
  <c r="AN190" i="2"/>
  <c r="AE190" i="2"/>
  <c r="M190" i="2"/>
  <c r="AW189" i="2"/>
  <c r="AN189" i="2"/>
  <c r="AE189" i="2"/>
  <c r="M189" i="2"/>
  <c r="AW188" i="2"/>
  <c r="AN188" i="2"/>
  <c r="AE188" i="2"/>
  <c r="M188" i="2"/>
  <c r="AW187" i="2"/>
  <c r="AN187" i="2"/>
  <c r="AE187" i="2"/>
  <c r="M187" i="2"/>
  <c r="AW186" i="2"/>
  <c r="AN186" i="2"/>
  <c r="AE186" i="2"/>
  <c r="M186" i="2"/>
  <c r="AW185" i="2"/>
  <c r="AN185" i="2"/>
  <c r="AE185" i="2"/>
  <c r="M185" i="2"/>
  <c r="AW184" i="2"/>
  <c r="AN184" i="2"/>
  <c r="AE184" i="2"/>
  <c r="M184" i="2"/>
  <c r="AW183" i="2"/>
  <c r="AN183" i="2"/>
  <c r="AE183" i="2"/>
  <c r="M183" i="2"/>
  <c r="AW182" i="2"/>
  <c r="AN182" i="2"/>
  <c r="AE182" i="2"/>
  <c r="M182" i="2"/>
  <c r="AW181" i="2"/>
  <c r="AN181" i="2"/>
  <c r="AE181" i="2"/>
  <c r="M181" i="2"/>
  <c r="AW180" i="2"/>
  <c r="AN180" i="2"/>
  <c r="AE180" i="2"/>
  <c r="M180" i="2"/>
  <c r="AW179" i="2"/>
  <c r="AN179" i="2"/>
  <c r="AE179" i="2"/>
  <c r="M179" i="2"/>
  <c r="AW178" i="2"/>
  <c r="AN178" i="2"/>
  <c r="AE178" i="2"/>
  <c r="M178" i="2"/>
  <c r="AW177" i="2"/>
  <c r="AN177" i="2"/>
  <c r="AE177" i="2"/>
  <c r="M177" i="2"/>
  <c r="AW176" i="2"/>
  <c r="AN176" i="2"/>
  <c r="AE176" i="2"/>
  <c r="M176" i="2"/>
  <c r="AW175" i="2"/>
  <c r="AN175" i="2"/>
  <c r="AE175" i="2"/>
  <c r="M175" i="2"/>
  <c r="AW174" i="2"/>
  <c r="AN174" i="2"/>
  <c r="AE174" i="2"/>
  <c r="M174" i="2"/>
  <c r="AW173" i="2"/>
  <c r="AN173" i="2"/>
  <c r="AE173" i="2"/>
  <c r="M173" i="2"/>
  <c r="AW172" i="2"/>
  <c r="AN172" i="2"/>
  <c r="AE172" i="2"/>
  <c r="M172" i="2"/>
  <c r="AW171" i="2"/>
  <c r="AN171" i="2"/>
  <c r="AE171" i="2"/>
  <c r="M171" i="2"/>
  <c r="AW170" i="2"/>
  <c r="AN170" i="2"/>
  <c r="AE170" i="2"/>
  <c r="M170" i="2"/>
  <c r="AW169" i="2"/>
  <c r="AN169" i="2"/>
  <c r="AE169" i="2"/>
  <c r="M169" i="2"/>
  <c r="AW168" i="2"/>
  <c r="AN168" i="2"/>
  <c r="AE168" i="2"/>
  <c r="M168" i="2"/>
  <c r="AW167" i="2"/>
  <c r="AN167" i="2"/>
  <c r="AE167" i="2"/>
  <c r="M167" i="2"/>
  <c r="AW166" i="2"/>
  <c r="AN166" i="2"/>
  <c r="AE166" i="2"/>
  <c r="M166" i="2"/>
  <c r="AW165" i="2"/>
  <c r="AN165" i="2"/>
  <c r="AE165" i="2"/>
  <c r="M165" i="2"/>
  <c r="AW164" i="2"/>
  <c r="AN164" i="2"/>
  <c r="AE164" i="2"/>
  <c r="M164" i="2"/>
  <c r="AW163" i="2"/>
  <c r="AN163" i="2"/>
  <c r="AE163" i="2"/>
  <c r="M163" i="2"/>
  <c r="AW162" i="2"/>
  <c r="AN162" i="2"/>
  <c r="AE162" i="2"/>
  <c r="M162" i="2"/>
  <c r="AW161" i="2"/>
  <c r="AN161" i="2"/>
  <c r="AE161" i="2"/>
  <c r="M161" i="2"/>
  <c r="AW160" i="2"/>
  <c r="AN160" i="2"/>
  <c r="AE160" i="2"/>
  <c r="M160" i="2"/>
  <c r="AW159" i="2"/>
  <c r="AN159" i="2"/>
  <c r="AE159" i="2"/>
  <c r="M159" i="2"/>
  <c r="AW158" i="2"/>
  <c r="AN158" i="2"/>
  <c r="AE158" i="2"/>
  <c r="M158" i="2"/>
  <c r="AW157" i="2"/>
  <c r="AN157" i="2"/>
  <c r="AE157" i="2"/>
  <c r="M157" i="2"/>
  <c r="AW156" i="2"/>
  <c r="AN156" i="2"/>
  <c r="AE156" i="2"/>
  <c r="M156" i="2"/>
  <c r="AW155" i="2"/>
  <c r="AN155" i="2"/>
  <c r="AE155" i="2"/>
  <c r="M155" i="2"/>
  <c r="AW154" i="2"/>
  <c r="AN154" i="2"/>
  <c r="AE154" i="2"/>
  <c r="M154" i="2"/>
  <c r="AW153" i="2"/>
  <c r="AN153" i="2"/>
  <c r="AE153" i="2"/>
  <c r="M153" i="2"/>
  <c r="AW152" i="2"/>
  <c r="AN152" i="2"/>
  <c r="AE152" i="2"/>
  <c r="M152" i="2"/>
  <c r="AW151" i="2"/>
  <c r="AN151" i="2"/>
  <c r="AE151" i="2"/>
  <c r="M151" i="2"/>
  <c r="AW150" i="2"/>
  <c r="AN150" i="2"/>
  <c r="AE150" i="2"/>
  <c r="M150" i="2"/>
  <c r="AW149" i="2"/>
  <c r="AN149" i="2"/>
  <c r="AE149" i="2"/>
  <c r="M149" i="2"/>
  <c r="AW148" i="2"/>
  <c r="AN148" i="2"/>
  <c r="AE148" i="2"/>
  <c r="M148" i="2"/>
  <c r="AW147" i="2"/>
  <c r="AN147" i="2"/>
  <c r="AE147" i="2"/>
  <c r="M147" i="2"/>
  <c r="AW146" i="2"/>
  <c r="AN146" i="2"/>
  <c r="AE146" i="2"/>
  <c r="M146" i="2"/>
  <c r="AW145" i="2"/>
  <c r="AN145" i="2"/>
  <c r="AE145" i="2"/>
  <c r="M145" i="2"/>
  <c r="AW144" i="2"/>
  <c r="AN144" i="2"/>
  <c r="AE144" i="2"/>
  <c r="AW143" i="2"/>
  <c r="AN143" i="2"/>
  <c r="AE143" i="2"/>
  <c r="M143" i="2"/>
  <c r="AW142" i="2"/>
  <c r="AN142" i="2"/>
  <c r="AE142" i="2"/>
  <c r="M142" i="2"/>
  <c r="AW141" i="2"/>
  <c r="AN141" i="2"/>
  <c r="AE141" i="2"/>
  <c r="M141" i="2"/>
  <c r="AW140" i="2"/>
  <c r="AN140" i="2"/>
  <c r="AE140" i="2"/>
  <c r="M140" i="2"/>
  <c r="AW139" i="2"/>
  <c r="AN139" i="2"/>
  <c r="AE139" i="2"/>
  <c r="M139" i="2"/>
  <c r="AW138" i="2"/>
  <c r="AN138" i="2"/>
  <c r="AE138" i="2"/>
  <c r="M138" i="2"/>
  <c r="AW137" i="2"/>
  <c r="AN137" i="2"/>
  <c r="AE137" i="2"/>
  <c r="M137" i="2"/>
  <c r="AW136" i="2"/>
  <c r="AN136" i="2"/>
  <c r="AE136" i="2"/>
  <c r="M136" i="2"/>
  <c r="AW135" i="2"/>
  <c r="AN135" i="2"/>
  <c r="AE135" i="2"/>
  <c r="M135" i="2"/>
  <c r="AW134" i="2"/>
  <c r="AN134" i="2"/>
  <c r="AE134" i="2"/>
  <c r="M134" i="2"/>
  <c r="AW133" i="2"/>
  <c r="AN133" i="2"/>
  <c r="AE133" i="2"/>
  <c r="M133" i="2"/>
  <c r="AW132" i="2"/>
  <c r="AN132" i="2"/>
  <c r="AE132" i="2"/>
  <c r="M132" i="2"/>
  <c r="AW131" i="2"/>
  <c r="AN131" i="2"/>
  <c r="AE131" i="2"/>
  <c r="M131" i="2"/>
  <c r="AW130" i="2"/>
  <c r="AN130" i="2"/>
  <c r="AE130" i="2"/>
  <c r="M130" i="2"/>
  <c r="AW129" i="2"/>
  <c r="AN129" i="2"/>
  <c r="AE129" i="2"/>
  <c r="M129" i="2"/>
  <c r="AW128" i="2"/>
  <c r="AN128" i="2"/>
  <c r="AE128" i="2"/>
  <c r="M128" i="2"/>
  <c r="AW127" i="2"/>
  <c r="AN127" i="2"/>
  <c r="AE127" i="2"/>
  <c r="M127" i="2"/>
  <c r="AW126" i="2"/>
  <c r="AN126" i="2"/>
  <c r="AE126" i="2"/>
  <c r="M126" i="2"/>
  <c r="AW125" i="2"/>
  <c r="AN125" i="2"/>
  <c r="AE125" i="2"/>
  <c r="M125" i="2"/>
  <c r="AW124" i="2"/>
  <c r="AN124" i="2"/>
  <c r="AE124" i="2"/>
  <c r="M124" i="2"/>
  <c r="AW123" i="2"/>
  <c r="AN123" i="2"/>
  <c r="AE123" i="2"/>
  <c r="M123" i="2"/>
  <c r="AW122" i="2"/>
  <c r="AN122" i="2"/>
  <c r="AE122" i="2"/>
  <c r="M122" i="2"/>
  <c r="AW121" i="2"/>
  <c r="AN121" i="2"/>
  <c r="AE121" i="2"/>
  <c r="M121" i="2"/>
  <c r="AW120" i="2"/>
  <c r="AN120" i="2"/>
  <c r="AE120" i="2"/>
  <c r="M120" i="2"/>
  <c r="AW119" i="2"/>
  <c r="AN119" i="2"/>
  <c r="AE119" i="2"/>
  <c r="M119" i="2"/>
  <c r="AW118" i="2"/>
  <c r="AN118" i="2"/>
  <c r="AE118" i="2"/>
  <c r="M118" i="2"/>
  <c r="AW117" i="2"/>
  <c r="AN117" i="2"/>
  <c r="AE117" i="2"/>
  <c r="M117" i="2"/>
  <c r="AW116" i="2"/>
  <c r="AN116" i="2"/>
  <c r="AE116" i="2"/>
  <c r="M116" i="2"/>
  <c r="AW115" i="2"/>
  <c r="AN115" i="2"/>
  <c r="AE115" i="2"/>
  <c r="M115" i="2"/>
  <c r="AW114" i="2"/>
  <c r="AN114" i="2"/>
  <c r="AE114" i="2"/>
  <c r="M114" i="2"/>
  <c r="AW113" i="2"/>
  <c r="AN113" i="2"/>
  <c r="AE113" i="2"/>
  <c r="M113" i="2"/>
  <c r="AW112" i="2"/>
  <c r="AN112" i="2"/>
  <c r="AE112" i="2"/>
  <c r="M112" i="2"/>
  <c r="AW111" i="2"/>
  <c r="AN111" i="2"/>
  <c r="AE111" i="2"/>
  <c r="M111" i="2"/>
  <c r="AW110" i="2"/>
  <c r="AN110" i="2"/>
  <c r="AE110" i="2"/>
  <c r="M110" i="2"/>
  <c r="AW109" i="2"/>
  <c r="AN109" i="2"/>
  <c r="AE109" i="2"/>
  <c r="M109" i="2"/>
  <c r="AW108" i="2"/>
  <c r="AN108" i="2"/>
  <c r="AE108" i="2"/>
  <c r="M108" i="2"/>
  <c r="AW107" i="2"/>
  <c r="AN107" i="2"/>
  <c r="AE107" i="2"/>
  <c r="M107" i="2"/>
  <c r="AW106" i="2"/>
  <c r="AN106" i="2"/>
  <c r="AE106" i="2"/>
  <c r="M106" i="2"/>
  <c r="AW105" i="2"/>
  <c r="AN105" i="2"/>
  <c r="AE105" i="2"/>
  <c r="M105" i="2"/>
  <c r="AW104" i="2"/>
  <c r="AN104" i="2"/>
  <c r="AE104" i="2"/>
  <c r="M104" i="2"/>
  <c r="AW103" i="2"/>
  <c r="AN103" i="2"/>
  <c r="AE103" i="2"/>
  <c r="M103" i="2"/>
  <c r="AW102" i="2"/>
  <c r="AN102" i="2"/>
  <c r="AE102" i="2"/>
  <c r="M102" i="2"/>
  <c r="AW101" i="2"/>
  <c r="AN101" i="2"/>
  <c r="AE101" i="2"/>
  <c r="M101" i="2"/>
  <c r="AW100" i="2"/>
  <c r="AN100" i="2"/>
  <c r="AE100" i="2"/>
  <c r="M100" i="2"/>
  <c r="AW99" i="2"/>
  <c r="AN99" i="2"/>
  <c r="AE99" i="2"/>
  <c r="M99" i="2"/>
  <c r="AW98" i="2"/>
  <c r="AN98" i="2"/>
  <c r="AE98" i="2"/>
  <c r="M98" i="2"/>
  <c r="AW97" i="2"/>
  <c r="AN97" i="2"/>
  <c r="AE97" i="2"/>
  <c r="M97" i="2"/>
  <c r="AW96" i="2"/>
  <c r="AN96" i="2"/>
  <c r="AE96" i="2"/>
  <c r="M96" i="2"/>
  <c r="AW95" i="2"/>
  <c r="AN95" i="2"/>
  <c r="AE95" i="2"/>
  <c r="M95" i="2"/>
  <c r="AW94" i="2"/>
  <c r="AN94" i="2"/>
  <c r="AE94" i="2"/>
  <c r="M94" i="2"/>
  <c r="AW93" i="2"/>
  <c r="AN93" i="2"/>
  <c r="AE93" i="2"/>
  <c r="M93" i="2"/>
  <c r="AW92" i="2"/>
  <c r="AN92" i="2"/>
  <c r="AE92" i="2"/>
  <c r="M92" i="2"/>
  <c r="AW91" i="2"/>
  <c r="AN91" i="2"/>
  <c r="AE91" i="2"/>
  <c r="M91" i="2"/>
  <c r="AW90" i="2"/>
  <c r="AN90" i="2"/>
  <c r="AE90" i="2"/>
  <c r="M90" i="2"/>
  <c r="AW89" i="2"/>
  <c r="AN89" i="2"/>
  <c r="AE89" i="2"/>
  <c r="M89" i="2"/>
  <c r="AW88" i="2"/>
  <c r="AN88" i="2"/>
  <c r="AE88" i="2"/>
  <c r="M88" i="2"/>
  <c r="AW87" i="2"/>
  <c r="AN87" i="2"/>
  <c r="AE87" i="2"/>
  <c r="M87" i="2"/>
  <c r="AW86" i="2"/>
  <c r="AN86" i="2"/>
  <c r="AE86" i="2"/>
  <c r="M86" i="2"/>
  <c r="AW85" i="2"/>
  <c r="AN85" i="2"/>
  <c r="AE85" i="2"/>
  <c r="M85" i="2"/>
  <c r="AW84" i="2"/>
  <c r="AN84" i="2"/>
  <c r="AE84" i="2"/>
  <c r="M84" i="2"/>
  <c r="AW83" i="2"/>
  <c r="AN83" i="2"/>
  <c r="AE83" i="2"/>
  <c r="M83" i="2"/>
  <c r="AW82" i="2"/>
  <c r="AN82" i="2"/>
  <c r="AE82" i="2"/>
  <c r="M82" i="2"/>
  <c r="AW81" i="2"/>
  <c r="AN81" i="2"/>
  <c r="AE81" i="2"/>
  <c r="M81" i="2"/>
  <c r="AW80" i="2"/>
  <c r="AN80" i="2"/>
  <c r="AE80" i="2"/>
  <c r="M80" i="2"/>
  <c r="AW79" i="2"/>
  <c r="AN79" i="2"/>
  <c r="AE79" i="2"/>
  <c r="M79" i="2"/>
  <c r="AW78" i="2"/>
  <c r="AN78" i="2"/>
  <c r="AE78" i="2"/>
  <c r="M78" i="2"/>
  <c r="AW77" i="2"/>
  <c r="AN77" i="2"/>
  <c r="AE77" i="2"/>
  <c r="M77" i="2"/>
  <c r="AW76" i="2"/>
  <c r="AN76" i="2"/>
  <c r="AE76" i="2"/>
  <c r="M76" i="2"/>
  <c r="AW75" i="2"/>
  <c r="AN75" i="2"/>
  <c r="AE75" i="2"/>
  <c r="M75" i="2"/>
  <c r="AW74" i="2"/>
  <c r="AN74" i="2"/>
  <c r="AE74" i="2"/>
  <c r="M74" i="2"/>
  <c r="AW73" i="2"/>
  <c r="AN73" i="2"/>
  <c r="AE73" i="2"/>
  <c r="M73" i="2"/>
  <c r="AW72" i="2"/>
  <c r="AN72" i="2"/>
  <c r="AE72" i="2"/>
  <c r="M72" i="2"/>
  <c r="AW71" i="2"/>
  <c r="AN71" i="2"/>
  <c r="AE71" i="2"/>
  <c r="M71" i="2"/>
  <c r="AW70" i="2"/>
  <c r="AN70" i="2"/>
  <c r="AE70" i="2"/>
  <c r="M70" i="2"/>
  <c r="AW69" i="2"/>
  <c r="AN69" i="2"/>
  <c r="AE69" i="2"/>
  <c r="M69" i="2"/>
  <c r="AW68" i="2"/>
  <c r="AN68" i="2"/>
  <c r="AE68" i="2"/>
  <c r="M68" i="2"/>
  <c r="AW67" i="2"/>
  <c r="AN67" i="2"/>
  <c r="AE67" i="2"/>
  <c r="M67" i="2"/>
  <c r="AW66" i="2"/>
  <c r="AN66" i="2"/>
  <c r="AE66" i="2"/>
  <c r="M66" i="2"/>
  <c r="AW65" i="2"/>
  <c r="AN65" i="2"/>
  <c r="AE65" i="2"/>
  <c r="M65" i="2"/>
  <c r="AW64" i="2"/>
  <c r="AN64" i="2"/>
  <c r="AE64" i="2"/>
  <c r="M64" i="2"/>
  <c r="AW63" i="2"/>
  <c r="AN63" i="2"/>
  <c r="AE63" i="2"/>
  <c r="M63" i="2"/>
  <c r="AW62" i="2"/>
  <c r="AN62" i="2"/>
  <c r="AE62" i="2"/>
  <c r="M62" i="2"/>
  <c r="AW61" i="2"/>
  <c r="AN61" i="2"/>
  <c r="AE61" i="2"/>
  <c r="M61" i="2"/>
  <c r="AW60" i="2"/>
  <c r="AN60" i="2"/>
  <c r="AE60" i="2"/>
  <c r="M60" i="2"/>
  <c r="AW59" i="2"/>
  <c r="AN59" i="2"/>
  <c r="AE59" i="2"/>
  <c r="M59" i="2"/>
  <c r="AW58" i="2"/>
  <c r="AN58" i="2"/>
  <c r="AE58" i="2"/>
  <c r="M58" i="2"/>
  <c r="AW57" i="2"/>
  <c r="AN57" i="2"/>
  <c r="AE57" i="2"/>
  <c r="M57" i="2"/>
  <c r="AW56" i="2"/>
  <c r="AN56" i="2"/>
  <c r="AE56" i="2"/>
  <c r="M56" i="2"/>
  <c r="AW55" i="2"/>
  <c r="AN55" i="2"/>
  <c r="AE55" i="2"/>
  <c r="M55" i="2"/>
  <c r="AW54" i="2"/>
  <c r="AN54" i="2"/>
  <c r="AE54" i="2"/>
  <c r="M54" i="2"/>
  <c r="AW53" i="2"/>
  <c r="AN53" i="2"/>
  <c r="AE53" i="2"/>
  <c r="M53" i="2"/>
  <c r="AW52" i="2"/>
  <c r="AN52" i="2"/>
  <c r="AE52" i="2"/>
  <c r="M52" i="2"/>
  <c r="AW51" i="2"/>
  <c r="AN51" i="2"/>
  <c r="AE51" i="2"/>
  <c r="M51" i="2"/>
  <c r="AW50" i="2"/>
  <c r="AN50" i="2"/>
  <c r="AE50" i="2"/>
  <c r="M50" i="2"/>
  <c r="AW49" i="2"/>
  <c r="AN49" i="2"/>
  <c r="AE49" i="2"/>
  <c r="M49" i="2"/>
  <c r="AW48" i="2"/>
  <c r="AN48" i="2"/>
  <c r="AE48" i="2"/>
  <c r="M48" i="2"/>
  <c r="AW47" i="2"/>
  <c r="AN47" i="2"/>
  <c r="AE47" i="2"/>
  <c r="M47" i="2"/>
  <c r="AW46" i="2"/>
  <c r="AN46" i="2"/>
  <c r="AE46" i="2"/>
  <c r="M46" i="2"/>
  <c r="AW45" i="2"/>
  <c r="AN45" i="2"/>
  <c r="AE45" i="2"/>
  <c r="M45" i="2"/>
  <c r="AW44" i="2"/>
  <c r="AN44" i="2"/>
  <c r="AE44" i="2"/>
  <c r="M44" i="2"/>
  <c r="AW43" i="2"/>
  <c r="AN43" i="2"/>
  <c r="AE43" i="2"/>
  <c r="M43" i="2"/>
  <c r="AW42" i="2"/>
  <c r="AN42" i="2"/>
  <c r="AE42" i="2"/>
  <c r="M42" i="2"/>
  <c r="AW41" i="2"/>
  <c r="AN41" i="2"/>
  <c r="AE41" i="2"/>
  <c r="M41" i="2"/>
  <c r="AW40" i="2"/>
  <c r="AN40" i="2"/>
  <c r="AE40" i="2"/>
  <c r="M40" i="2"/>
  <c r="AW39" i="2"/>
  <c r="AN39" i="2"/>
  <c r="AE39" i="2"/>
  <c r="M39" i="2"/>
  <c r="AW38" i="2"/>
  <c r="AN38" i="2"/>
  <c r="AE38" i="2"/>
  <c r="M38" i="2"/>
  <c r="AW37" i="2"/>
  <c r="AN37" i="2"/>
  <c r="AE37" i="2"/>
  <c r="M37" i="2"/>
  <c r="AW36" i="2"/>
  <c r="AN36" i="2"/>
  <c r="AE36" i="2"/>
  <c r="M36" i="2"/>
  <c r="AW35" i="2"/>
  <c r="AN35" i="2"/>
  <c r="AE35" i="2"/>
  <c r="M35" i="2"/>
  <c r="AW34" i="2"/>
  <c r="AN34" i="2"/>
  <c r="AE34" i="2"/>
  <c r="M34" i="2"/>
  <c r="AW33" i="2"/>
  <c r="AN33" i="2"/>
  <c r="AE33" i="2"/>
  <c r="M33" i="2"/>
  <c r="AW32" i="2"/>
  <c r="AN32" i="2"/>
  <c r="AE32" i="2"/>
  <c r="M32" i="2"/>
  <c r="AW31" i="2"/>
  <c r="AN31" i="2"/>
  <c r="AE31" i="2"/>
  <c r="M31" i="2"/>
  <c r="AW30" i="2"/>
  <c r="AN30" i="2"/>
  <c r="AE30" i="2"/>
  <c r="M30" i="2"/>
  <c r="AW29" i="2"/>
  <c r="AN29" i="2"/>
  <c r="AE29" i="2"/>
  <c r="M29" i="2"/>
  <c r="AW28" i="2"/>
  <c r="AN28" i="2"/>
  <c r="AE28" i="2"/>
  <c r="M28" i="2"/>
  <c r="AW27" i="2"/>
  <c r="AN27" i="2"/>
  <c r="AE27" i="2"/>
  <c r="M27" i="2"/>
  <c r="AW26" i="2"/>
  <c r="AN26" i="2"/>
  <c r="AE26" i="2"/>
  <c r="M26" i="2"/>
  <c r="AW25" i="2"/>
  <c r="AN25" i="2"/>
  <c r="AE25" i="2"/>
  <c r="M25" i="2"/>
  <c r="AW24" i="2"/>
  <c r="AN24" i="2"/>
  <c r="AE24" i="2"/>
  <c r="M24" i="2"/>
  <c r="AW23" i="2"/>
  <c r="AN23" i="2"/>
  <c r="AE23" i="2"/>
  <c r="M23" i="2"/>
  <c r="AW22" i="2"/>
  <c r="AN22" i="2"/>
  <c r="AE22" i="2"/>
  <c r="M22" i="2"/>
  <c r="AW21" i="2"/>
  <c r="AN21" i="2"/>
  <c r="AE21" i="2"/>
  <c r="M21" i="2"/>
  <c r="AW20" i="2"/>
  <c r="AN20" i="2"/>
  <c r="AE20" i="2"/>
  <c r="M20" i="2"/>
  <c r="AW19" i="2"/>
  <c r="AN19" i="2"/>
  <c r="AE19" i="2"/>
  <c r="M19" i="2"/>
  <c r="AW18" i="2"/>
  <c r="AN18" i="2"/>
  <c r="AE18" i="2"/>
  <c r="M18" i="2"/>
  <c r="AW17" i="2"/>
  <c r="AN17" i="2"/>
  <c r="AE17" i="2"/>
  <c r="M17" i="2"/>
  <c r="AW16" i="2"/>
  <c r="AN16" i="2"/>
  <c r="AE16" i="2"/>
  <c r="M16" i="2"/>
  <c r="AW15" i="2"/>
  <c r="AN15" i="2"/>
  <c r="AE15" i="2"/>
  <c r="M15" i="2"/>
  <c r="AW14" i="2"/>
  <c r="AN14" i="2"/>
  <c r="AE14" i="2"/>
  <c r="M14" i="2"/>
  <c r="AW13" i="2"/>
  <c r="AN13" i="2"/>
  <c r="AE13" i="2"/>
  <c r="M13" i="2"/>
  <c r="AW12" i="2"/>
  <c r="AN12" i="2"/>
  <c r="AE12" i="2"/>
  <c r="M12" i="2"/>
  <c r="AW11" i="2"/>
  <c r="AN11" i="2"/>
  <c r="AE11" i="2"/>
  <c r="M11" i="2"/>
  <c r="AW10" i="2"/>
  <c r="AN10" i="2"/>
  <c r="AE10" i="2"/>
  <c r="M10" i="2"/>
  <c r="AW9" i="2"/>
  <c r="AN9" i="2"/>
  <c r="AE9" i="2"/>
  <c r="M9" i="2"/>
  <c r="AW8" i="2"/>
  <c r="AN8" i="2"/>
  <c r="AE8" i="2"/>
  <c r="M8" i="2"/>
  <c r="AW7" i="2"/>
  <c r="AN7" i="2"/>
  <c r="AE7" i="2"/>
  <c r="M7" i="2"/>
  <c r="AW6" i="2"/>
  <c r="AN6" i="2"/>
  <c r="AE6" i="2"/>
  <c r="M6" i="2"/>
  <c r="AW5" i="2"/>
  <c r="AN5" i="2"/>
  <c r="AE5" i="2"/>
  <c r="M5" i="2"/>
  <c r="V17" i="1"/>
  <c r="R17" i="1"/>
  <c r="N17" i="1"/>
  <c r="J17" i="1"/>
  <c r="V16" i="1"/>
  <c r="R16" i="1"/>
  <c r="N16" i="1"/>
  <c r="J16" i="1"/>
  <c r="F16" i="1"/>
  <c r="V15" i="1"/>
  <c r="R15" i="1"/>
  <c r="N15" i="1"/>
  <c r="J15" i="1"/>
  <c r="F15" i="1"/>
  <c r="V14" i="1"/>
  <c r="T14" i="1"/>
  <c r="R14" i="1"/>
  <c r="N14" i="1"/>
  <c r="J14" i="1"/>
  <c r="F14" i="1"/>
  <c r="V13" i="1"/>
  <c r="R13" i="1"/>
  <c r="P13" i="1"/>
  <c r="N13" i="1"/>
  <c r="J13" i="1"/>
  <c r="H13" i="1"/>
  <c r="F13" i="1"/>
  <c r="V12" i="1"/>
  <c r="R12" i="1"/>
  <c r="Q12" i="1"/>
  <c r="N12" i="1"/>
  <c r="M12" i="1"/>
  <c r="J12" i="1"/>
  <c r="V11" i="1"/>
  <c r="R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Q7" i="1"/>
  <c r="N7" i="1"/>
  <c r="J7" i="1"/>
  <c r="F7" i="1"/>
  <c r="V6" i="1"/>
  <c r="R6" i="1"/>
  <c r="N6" i="1"/>
  <c r="J6" i="1"/>
  <c r="F6" i="1"/>
  <c r="H14" i="1" l="1"/>
  <c r="I14" i="1"/>
  <c r="T9" i="1"/>
  <c r="U9" i="1"/>
  <c r="I9" i="1"/>
  <c r="L9" i="1"/>
  <c r="E9" i="1"/>
  <c r="P9" i="1"/>
  <c r="H9" i="1"/>
  <c r="I11" i="1"/>
  <c r="P11" i="1"/>
  <c r="U11" i="1"/>
  <c r="M11" i="1"/>
  <c r="E11" i="1"/>
  <c r="D11" i="1"/>
  <c r="H8" i="1"/>
  <c r="T8" i="1"/>
  <c r="I8" i="1"/>
  <c r="M8" i="1"/>
  <c r="Q8" i="1"/>
  <c r="U8" i="1"/>
  <c r="I16" i="1"/>
  <c r="T16" i="1"/>
  <c r="L16" i="1"/>
  <c r="U16" i="1"/>
  <c r="M16" i="1"/>
  <c r="Q16" i="1"/>
  <c r="H16" i="1"/>
  <c r="E16" i="1"/>
  <c r="D8" i="1"/>
  <c r="U10" i="1"/>
  <c r="L10" i="1"/>
  <c r="I10" i="1"/>
  <c r="T10" i="1"/>
  <c r="M10" i="1"/>
  <c r="Q10" i="1"/>
  <c r="E10" i="1"/>
  <c r="D12" i="1"/>
  <c r="E12" i="1"/>
  <c r="D13" i="1"/>
  <c r="E13" i="1"/>
  <c r="Q15" i="1"/>
  <c r="H15" i="1"/>
  <c r="U15" i="1"/>
  <c r="T15" i="1"/>
  <c r="P15" i="1"/>
  <c r="I15" i="1"/>
  <c r="M15" i="1"/>
  <c r="E15" i="1"/>
  <c r="M17" i="1"/>
  <c r="U17" i="1"/>
  <c r="I17" i="1"/>
  <c r="T17" i="1"/>
  <c r="L17" i="1"/>
  <c r="Q17" i="1"/>
  <c r="E17" i="1"/>
  <c r="M14" i="1"/>
  <c r="P14" i="1"/>
  <c r="E14" i="1"/>
  <c r="M7" i="1"/>
  <c r="I7" i="1"/>
  <c r="E7" i="1"/>
  <c r="P6" i="1"/>
  <c r="Q6" i="1"/>
  <c r="L6" i="1"/>
  <c r="M6" i="1"/>
  <c r="U6" i="1"/>
  <c r="H6" i="1"/>
  <c r="D14" i="1"/>
  <c r="D6" i="1"/>
  <c r="E6" i="1"/>
  <c r="L11" i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<sst xmlns="http://schemas.openxmlformats.org/spreadsheetml/2006/main" count="46770" uniqueCount="6226">
  <si>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</si>
  <si>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</si>
  <si>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</si>
  <si>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</si>
  <si>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</si>
  <si>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</si>
  <si>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</si>
  <si>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</si>
  <si>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</si>
  <si>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</si>
  <si>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</si>
  <si>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</si>
  <si>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</si>
  <si>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</si>
  <si>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</si>
  <si>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</si>
  <si>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</si>
  <si>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</si>
  <si>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</si>
  <si>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</si>
  <si>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</si>
  <si>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</si>
  <si>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</si>
  <si>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</si>
  <si>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</si>
  <si>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</si>
  <si>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</si>
  <si>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</si>
  <si>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</si>
  <si>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</si>
  <si>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</si>
  <si>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</si>
  <si>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</si>
  <si>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</si>
  <si>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</si>
  <si>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</si>
  <si>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</si>
  <si>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</si>
  <si>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</si>
  <si>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</si>
  <si>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</si>
  <si>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</si>
  <si>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</si>
  <si>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</si>
  <si>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</si>
  <si>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</si>
  <si>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</si>
  <si>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</si>
  <si>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</si>
  <si>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</si>
  <si>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</si>
  <si>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</si>
  <si>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</si>
  <si>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</si>
  <si>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</si>
  <si>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Sunil CR</t>
  </si>
  <si>
    <t>Yes</t>
  </si>
  <si>
    <t>No</t>
  </si>
  <si>
    <t>Good finish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</si>
  <si>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</si>
  <si>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</si>
  <si>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</si>
  <si>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</si>
  <si>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</si>
  <si>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</si>
  <si>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</si>
  <si>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</si>
  <si>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</si>
  <si>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</si>
  <si>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</si>
  <si>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</si>
  <si>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</si>
  <si>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</si>
  <si>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</si>
  <si>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</si>
  <si>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</si>
  <si>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</si>
  <si>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</si>
  <si>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</si>
  <si>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</si>
  <si>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</si>
  <si>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</si>
  <si>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</si>
  <si>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</si>
  <si>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</si>
  <si>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</si>
  <si>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</si>
  <si>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</si>
  <si>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</si>
  <si>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</si>
  <si>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</si>
  <si>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</si>
  <si>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</si>
  <si>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</si>
  <si>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</si>
  <si>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</si>
  <si>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</si>
  <si>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</si>
  <si>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</si>
  <si>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</si>
  <si>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</si>
  <si>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</si>
  <si>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</si>
  <si>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</si>
  <si>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</si>
  <si>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</si>
  <si>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</si>
  <si>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</si>
  <si>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</si>
  <si>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</si>
  <si>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</si>
  <si>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</si>
  <si>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</si>
  <si>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</si>
  <si>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</si>
  <si>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</si>
  <si>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</si>
  <si>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</si>
  <si>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</si>
  <si>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</si>
  <si>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</si>
  <si>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</si>
  <si>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</si>
  <si>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</si>
  <si>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</si>
  <si>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</si>
  <si>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</si>
  <si>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</si>
  <si>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</si>
  <si>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</si>
  <si>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</si>
  <si>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</si>
  <si>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</si>
  <si>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</si>
  <si>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</si>
  <si>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</si>
  <si>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</si>
  <si>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</si>
  <si>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</si>
  <si>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</si>
  <si>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</si>
  <si>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</si>
  <si>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</si>
  <si>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</si>
  <si>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</si>
  <si>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</si>
  <si>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</si>
  <si>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</si>
  <si>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</si>
  <si>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Minor defect</t>
  </si>
  <si>
    <t>Categorization sticker is missing</t>
  </si>
  <si>
    <t>BD-LAM-2024-0002</t>
  </si>
  <si>
    <t>Royal Touch - RT Crystal Z+ PP 1166 1.25mm</t>
  </si>
  <si>
    <t>Not Available</t>
  </si>
  <si>
    <t>BD-LAM-2023-0002</t>
  </si>
  <si>
    <t>Royal Touche - BM - 1746 - 1.25mm(Diamond)</t>
  </si>
  <si>
    <t>BD-LAM-2023-0009</t>
  </si>
  <si>
    <t>Royal Touche - CRY - 1164 - 1.25mm(Diamond)</t>
  </si>
  <si>
    <t>Name Sticker to be Changed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</si>
  <si>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</si>
  <si>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</si>
  <si>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</si>
  <si>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</si>
  <si>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</si>
  <si>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</si>
  <si>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</si>
  <si>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</si>
  <si>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</si>
  <si>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</si>
  <si>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</si>
  <si>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</si>
  <si>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</si>
  <si>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</si>
  <si>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</si>
  <si>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</si>
  <si>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</si>
  <si>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</si>
  <si>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</si>
  <si>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</si>
  <si>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</si>
  <si>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</si>
  <si>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</si>
  <si>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</si>
  <si>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</si>
  <si>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</si>
  <si>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</si>
  <si>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</si>
  <si>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</si>
  <si>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</si>
  <si>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</si>
  <si>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</si>
  <si>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</si>
  <si>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</si>
  <si>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</si>
  <si>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</si>
  <si>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</si>
  <si>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</si>
  <si>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</si>
  <si>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</si>
  <si>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</si>
  <si>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</si>
  <si>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</si>
  <si>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</si>
  <si>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</si>
  <si>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</si>
  <si>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</si>
  <si>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</si>
  <si>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</si>
  <si>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</si>
  <si>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</si>
  <si>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</si>
  <si>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</si>
  <si>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</si>
  <si>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</si>
  <si>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</si>
  <si>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</si>
  <si>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</si>
  <si>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</si>
  <si>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</si>
  <si>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</si>
  <si>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</si>
  <si>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</si>
  <si>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</si>
  <si>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</si>
  <si>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</si>
  <si>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</si>
  <si>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</si>
  <si>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</si>
  <si>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</si>
  <si>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</si>
  <si>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</si>
  <si>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</si>
  <si>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</si>
  <si>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</si>
  <si>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</si>
  <si>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</si>
  <si>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</si>
  <si>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</si>
  <si>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</si>
  <si>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</si>
  <si>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Available in small book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</si>
  <si>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</si>
  <si>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</si>
  <si>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</si>
  <si>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</si>
  <si>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</si>
  <si>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</si>
  <si>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</si>
  <si>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</si>
  <si>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</si>
  <si>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</si>
  <si>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</si>
  <si>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</si>
  <si>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</si>
  <si>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</si>
  <si>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</si>
  <si>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</si>
  <si>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</si>
  <si>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</si>
  <si>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</si>
  <si>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</si>
  <si>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</si>
  <si>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</si>
  <si>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</si>
  <si>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</si>
  <si>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</si>
  <si>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</si>
  <si>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</si>
  <si>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</si>
  <si>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Sticker is missing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</si>
  <si>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</si>
  <si>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</si>
  <si>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</si>
  <si>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</si>
  <si>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</si>
  <si>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</si>
  <si>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</si>
  <si>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</si>
  <si>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</si>
  <si>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</si>
  <si>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</si>
  <si>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</si>
  <si>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</si>
  <si>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</si>
  <si>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</si>
  <si>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</si>
  <si>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</si>
  <si>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</si>
  <si>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</si>
  <si>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</si>
  <si>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</si>
  <si>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</si>
  <si>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</si>
  <si>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</si>
  <si>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</si>
  <si>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</si>
  <si>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</si>
  <si>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</si>
  <si>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</si>
  <si>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</si>
  <si>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</si>
  <si>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</si>
  <si>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</si>
  <si>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</si>
  <si>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</si>
  <si>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</si>
  <si>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</si>
  <si>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</si>
  <si>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</si>
  <si>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</si>
  <si>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</si>
  <si>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</si>
  <si>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</si>
  <si>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</si>
  <si>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</si>
  <si>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</si>
  <si>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</si>
  <si>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</si>
  <si>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</si>
  <si>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</si>
  <si>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</si>
  <si>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</si>
  <si>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</si>
  <si>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</si>
  <si>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</si>
  <si>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</si>
  <si>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</si>
  <si>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</si>
  <si>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</si>
  <si>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</si>
  <si>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</si>
  <si>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</si>
  <si>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</si>
  <si>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</si>
  <si>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</si>
  <si>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</si>
  <si>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</si>
  <si>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</si>
  <si>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</si>
  <si>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</si>
  <si>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</si>
  <si>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</si>
  <si>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</si>
  <si>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</si>
  <si>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</si>
  <si>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</si>
  <si>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</si>
  <si>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</si>
  <si>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</si>
  <si>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</si>
  <si>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</si>
  <si>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</si>
  <si>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</si>
  <si>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</si>
  <si>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</si>
  <si>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</si>
  <si>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</si>
  <si>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</si>
  <si>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</si>
  <si>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</si>
  <si>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</si>
  <si>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</si>
  <si>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</si>
  <si>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</si>
  <si>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</si>
  <si>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</si>
  <si>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</si>
  <si>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</si>
  <si>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</si>
  <si>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</si>
  <si>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</si>
  <si>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</si>
  <si>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</si>
  <si>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</si>
  <si>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</si>
  <si>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</si>
  <si>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</si>
  <si>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</si>
  <si>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</si>
  <si>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</si>
  <si>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</si>
  <si>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</si>
  <si>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</si>
  <si>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</si>
  <si>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</si>
  <si>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</si>
  <si>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</si>
  <si>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</si>
  <si>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</si>
  <si>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</si>
  <si>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</si>
  <si>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</si>
  <si>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</si>
  <si>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</si>
  <si>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</si>
  <si>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</si>
  <si>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</si>
  <si>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</si>
  <si>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</si>
  <si>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</si>
  <si>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</si>
  <si>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</si>
  <si>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</si>
  <si>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</si>
  <si>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</si>
  <si>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</si>
  <si>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</si>
  <si>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</si>
  <si>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</si>
  <si>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</si>
  <si>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</si>
  <si>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</si>
  <si>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</si>
  <si>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</si>
  <si>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</si>
  <si>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</si>
  <si>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</si>
  <si>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</si>
  <si>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</si>
  <si>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</si>
  <si>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</si>
  <si>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</si>
  <si>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</si>
  <si>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</si>
  <si>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</si>
  <si>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</si>
  <si>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</si>
  <si>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</si>
  <si>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</si>
  <si>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</si>
  <si>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</si>
  <si>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</si>
  <si>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</si>
  <si>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</si>
  <si>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</si>
  <si>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</si>
  <si>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</si>
  <si>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</si>
  <si>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</si>
  <si>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</si>
  <si>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</si>
  <si>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</si>
  <si>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</si>
  <si>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</si>
  <si>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</si>
  <si>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</si>
  <si>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</si>
  <si>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</si>
  <si>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</si>
  <si>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</si>
  <si>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</si>
  <si>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</si>
  <si>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</si>
  <si>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</si>
  <si>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</si>
  <si>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</si>
  <si>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</si>
  <si>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</si>
  <si>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</si>
  <si>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</si>
  <si>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</si>
  <si>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</si>
  <si>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</si>
  <si>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</si>
  <si>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</si>
  <si>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</si>
  <si>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</si>
  <si>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</si>
  <si>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</si>
  <si>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</si>
  <si>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</si>
  <si>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</si>
  <si>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</si>
  <si>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</si>
  <si>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</si>
  <si>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</si>
  <si>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</si>
  <si>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</si>
  <si>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</si>
  <si>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</si>
  <si>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</si>
  <si>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</si>
  <si>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</si>
  <si>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</si>
  <si>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</si>
  <si>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</si>
  <si>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</si>
  <si>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</si>
  <si>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</si>
  <si>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</si>
  <si>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</si>
  <si>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</si>
  <si>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</si>
  <si>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</si>
  <si>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</si>
  <si>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</si>
  <si>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</si>
  <si>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</si>
  <si>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</si>
  <si>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</si>
  <si>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</si>
  <si>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</si>
  <si>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</si>
  <si>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</si>
  <si>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</si>
  <si>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</si>
  <si>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</si>
  <si>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</si>
  <si>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</si>
  <si>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</si>
  <si>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</si>
  <si>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</si>
  <si>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</si>
  <si>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</si>
  <si>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</si>
  <si>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</si>
  <si>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</si>
  <si>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</si>
  <si>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</si>
  <si>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</si>
  <si>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</si>
  <si>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</si>
  <si>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</si>
  <si>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</si>
  <si>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</si>
  <si>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</si>
  <si>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</si>
  <si>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</si>
  <si>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</si>
  <si>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</si>
  <si>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</si>
  <si>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</si>
  <si>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</si>
  <si>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</si>
  <si>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</si>
  <si>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</si>
  <si>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</si>
  <si>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</si>
  <si>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</si>
  <si>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</si>
  <si>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</si>
  <si>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</si>
  <si>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</si>
  <si>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</si>
  <si>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</si>
  <si>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</si>
  <si>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</si>
  <si>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</si>
  <si>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</si>
  <si>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</si>
  <si>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</si>
  <si>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</si>
  <si>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</si>
  <si>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</si>
  <si>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</si>
  <si>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</si>
  <si>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</si>
  <si>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</si>
  <si>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</si>
  <si>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</si>
  <si>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</si>
  <si>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</si>
  <si>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</si>
  <si>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</si>
  <si>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</si>
  <si>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</si>
  <si>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</si>
  <si>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</si>
  <si>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</si>
  <si>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</si>
  <si>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</si>
  <si>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</si>
  <si>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</si>
  <si>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</si>
  <si>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</si>
  <si>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</si>
  <si>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</si>
  <si>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</si>
  <si>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</si>
  <si>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</si>
  <si>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</si>
  <si>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</si>
  <si>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</si>
  <si>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</si>
  <si>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</si>
  <si>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</si>
  <si>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</si>
  <si>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</si>
  <si>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</si>
  <si>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</si>
  <si>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</si>
  <si>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</si>
  <si>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</si>
  <si>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</si>
  <si>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</si>
  <si>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</si>
  <si>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</si>
  <si>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</si>
  <si>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</si>
  <si>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</si>
  <si>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</si>
  <si>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</si>
  <si>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</si>
  <si>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</si>
  <si>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</si>
  <si>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</si>
  <si>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</si>
  <si>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</si>
  <si>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</si>
  <si>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</si>
  <si>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</si>
  <si>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</si>
  <si>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</si>
  <si>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</si>
  <si>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</si>
  <si>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</si>
  <si>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</si>
  <si>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</si>
  <si>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</si>
  <si>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</si>
  <si>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</si>
  <si>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</si>
  <si>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</si>
  <si>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</si>
  <si>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</si>
  <si>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</si>
  <si>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</si>
  <si>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</si>
  <si>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</si>
  <si>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</si>
  <si>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</si>
  <si>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</si>
  <si>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</si>
  <si>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</si>
  <si>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</si>
  <si>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</si>
  <si>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</si>
  <si>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</si>
  <si>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</si>
  <si>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</si>
  <si>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</si>
  <si>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</si>
  <si>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</si>
  <si>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</si>
  <si>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</si>
  <si>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</si>
  <si>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</si>
  <si>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</si>
  <si>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</si>
  <si>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</si>
  <si>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</si>
  <si>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</si>
  <si>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</si>
  <si>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</si>
  <si>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</si>
  <si>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</si>
  <si>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</si>
  <si>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</si>
  <si>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</si>
  <si>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</si>
  <si>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</si>
  <si>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</si>
  <si>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</si>
  <si>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</si>
  <si>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</si>
  <si>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</si>
  <si>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</si>
  <si>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</si>
  <si>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</si>
  <si>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</si>
  <si>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</si>
  <si>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</si>
  <si>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</si>
  <si>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</si>
  <si>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</si>
  <si>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</si>
  <si>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</si>
  <si>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</si>
  <si>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</si>
  <si>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</si>
  <si>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</si>
  <si>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</si>
  <si>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</si>
  <si>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</si>
  <si>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</si>
  <si>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</si>
  <si>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</si>
  <si>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</si>
  <si>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</si>
  <si>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</si>
  <si>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</si>
  <si>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</si>
  <si>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</si>
  <si>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</si>
  <si>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</si>
  <si>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</si>
  <si>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</si>
  <si>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</si>
  <si>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</si>
  <si>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</si>
  <si>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</si>
  <si>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</si>
  <si>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</si>
  <si>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</si>
  <si>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</si>
  <si>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</si>
  <si>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</si>
  <si>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</si>
  <si>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</si>
  <si>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</si>
  <si>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</si>
  <si>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</si>
  <si>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</si>
  <si>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</si>
  <si>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</si>
  <si>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</si>
  <si>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</si>
  <si>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</si>
  <si>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</si>
  <si>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</si>
  <si>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</si>
  <si>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</si>
  <si>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</si>
  <si>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</si>
  <si>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</si>
  <si>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</si>
  <si>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</si>
  <si>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</si>
  <si>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</si>
  <si>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</si>
  <si>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</si>
  <si>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</si>
  <si>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</si>
  <si>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</si>
  <si>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</si>
  <si>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</si>
  <si>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</si>
  <si>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</si>
  <si>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</si>
  <si>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</si>
  <si>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</si>
  <si>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</si>
  <si>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</si>
  <si>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</si>
  <si>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</si>
  <si>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</si>
  <si>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</si>
  <si>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</si>
  <si>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</si>
  <si>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</si>
  <si>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</si>
  <si>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</si>
  <si>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</si>
  <si>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</si>
  <si>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</si>
  <si>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</si>
  <si>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</si>
  <si>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</si>
  <si>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</si>
  <si>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</si>
  <si>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</si>
  <si>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</si>
  <si>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</si>
  <si>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</si>
  <si>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</si>
  <si>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</si>
  <si>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</si>
  <si>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PJ,P1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</si>
  <si>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</si>
  <si>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</si>
  <si>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</si>
  <si>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</si>
  <si>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</si>
  <si>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</si>
  <si>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</si>
  <si>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</si>
  <si>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</si>
  <si>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</si>
  <si>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</si>
  <si>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P3,P2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</si>
  <si>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</si>
  <si>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</si>
  <si>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</si>
  <si>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</si>
  <si>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</si>
  <si>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</si>
  <si>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</si>
  <si>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</si>
  <si>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</si>
  <si>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P1,P2</t>
  </si>
  <si>
    <t>PU 1000 GL</t>
  </si>
  <si>
    <t>PU - Green beige (Gloss) 1000</t>
  </si>
  <si>
    <t>PU 1000 MT</t>
  </si>
  <si>
    <t>PU - Green beige (Matt) 1000</t>
  </si>
  <si>
    <t>P5,P1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</si>
  <si>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</si>
  <si>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</si>
  <si>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</si>
  <si>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</si>
  <si>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</si>
  <si>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</si>
  <si>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</si>
  <si>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</si>
  <si>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</si>
  <si>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</si>
  <si>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P2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</si>
  <si>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</si>
  <si>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</si>
  <si>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</si>
  <si>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</si>
  <si>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</si>
  <si>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</si>
  <si>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P6,P2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</si>
  <si>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</si>
  <si>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</si>
  <si>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</si>
  <si>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</si>
  <si>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</si>
  <si>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</si>
  <si>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P1,PJ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</si>
  <si>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</si>
  <si>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</si>
  <si>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</si>
  <si>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</si>
  <si>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</si>
  <si>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</si>
  <si>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</si>
  <si>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</si>
  <si>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</si>
  <si>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</si>
  <si>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</si>
  <si>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</si>
  <si>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</si>
  <si>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</si>
  <si>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</si>
  <si>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</si>
  <si>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</si>
  <si>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</si>
  <si>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</si>
  <si>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</si>
  <si>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</si>
  <si>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</si>
  <si>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</si>
  <si>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</si>
  <si>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</si>
  <si>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</si>
  <si>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</si>
  <si>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</si>
  <si>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</si>
  <si>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</si>
  <si>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</si>
  <si>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</si>
  <si>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</si>
  <si>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</si>
  <si>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</si>
  <si>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</si>
  <si>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</si>
  <si>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</si>
  <si>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</si>
  <si>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</si>
  <si>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</si>
  <si>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</si>
  <si>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</si>
  <si>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</si>
  <si>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</si>
  <si>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</si>
  <si>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</si>
  <si>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</si>
  <si>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</si>
  <si>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</si>
  <si>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</si>
  <si>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</si>
  <si>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</si>
  <si>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</si>
  <si>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</si>
  <si>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</si>
  <si>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</si>
  <si>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</si>
  <si>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</si>
  <si>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</si>
  <si>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</si>
  <si>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</si>
  <si>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</si>
  <si>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</si>
  <si>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</si>
  <si>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</si>
  <si>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</si>
  <si>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</si>
  <si>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</si>
  <si>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</si>
  <si>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</si>
  <si>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</si>
  <si>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</si>
  <si>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</si>
  <si>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</si>
  <si>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</si>
  <si>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</si>
  <si>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</si>
  <si>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</si>
  <si>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</si>
  <si>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</si>
  <si>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</si>
  <si>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</si>
  <si>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</si>
  <si>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</si>
  <si>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</si>
  <si>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</si>
  <si>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</si>
  <si>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</si>
  <si>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</si>
  <si>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</si>
  <si>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</si>
  <si>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</si>
  <si>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</si>
  <si>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</si>
  <si>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</si>
  <si>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</si>
  <si>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</si>
  <si>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</si>
  <si>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</si>
  <si>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</si>
  <si>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</si>
  <si>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</si>
  <si>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</si>
  <si>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</si>
  <si>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</si>
  <si>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</si>
  <si>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</si>
  <si>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</si>
  <si>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</si>
  <si>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</si>
  <si>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</si>
  <si>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</si>
  <si>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</si>
  <si>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</si>
  <si>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</si>
  <si>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</si>
  <si>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</si>
  <si>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</si>
  <si>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</si>
  <si>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</si>
  <si>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</si>
  <si>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</si>
  <si>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</si>
  <si>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</si>
  <si>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</si>
  <si>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</si>
  <si>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</si>
  <si>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</si>
  <si>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</si>
  <si>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</si>
  <si>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</si>
  <si>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</si>
  <si>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</si>
  <si>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</si>
  <si>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</si>
  <si>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</si>
  <si>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</si>
  <si>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</si>
  <si>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</si>
  <si>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</si>
  <si>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</si>
  <si>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</si>
  <si>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</si>
  <si>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</si>
  <si>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</si>
  <si>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</si>
  <si>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</si>
  <si>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</si>
  <si>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</si>
  <si>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</si>
  <si>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</si>
  <si>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</si>
  <si>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</si>
  <si>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</si>
  <si>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</si>
  <si>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</si>
  <si>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</si>
  <si>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</si>
  <si>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</si>
  <si>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</si>
  <si>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</si>
  <si>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</si>
  <si>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</si>
  <si>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</si>
  <si>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</si>
  <si>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</si>
  <si>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</si>
  <si>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</si>
  <si>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</si>
  <si>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</si>
  <si>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</si>
  <si>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</si>
  <si>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</si>
  <si>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</si>
  <si>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</si>
  <si>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</si>
  <si>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</si>
  <si>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</si>
  <si>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</si>
  <si>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</si>
  <si>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</si>
  <si>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</si>
  <si>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</si>
  <si>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</si>
  <si>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</si>
  <si>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</si>
  <si>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</si>
  <si>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</si>
  <si>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</si>
  <si>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</si>
  <si>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</si>
  <si>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</si>
  <si>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</si>
  <si>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</si>
  <si>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</si>
  <si>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</si>
  <si>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</si>
  <si>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</si>
  <si>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</si>
  <si>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</si>
  <si>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</si>
  <si>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</si>
  <si>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</si>
  <si>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</si>
  <si>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</si>
  <si>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</si>
  <si>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</si>
  <si>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</si>
  <si>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</si>
  <si>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</si>
  <si>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</si>
  <si>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</si>
  <si>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</si>
  <si>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</si>
  <si>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</si>
  <si>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</si>
  <si>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</si>
  <si>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</si>
  <si>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</si>
  <si>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</si>
  <si>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</si>
  <si>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</si>
  <si>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</si>
  <si>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</si>
  <si>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</si>
  <si>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</si>
  <si>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</si>
  <si>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</si>
  <si>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</si>
  <si>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</si>
  <si>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</si>
  <si>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</si>
  <si>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</si>
  <si>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</si>
  <si>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</si>
  <si>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</si>
  <si>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</si>
  <si>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</si>
  <si>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</si>
  <si>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</si>
  <si>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</si>
  <si>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</si>
  <si>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</si>
  <si>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</si>
  <si>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</si>
  <si>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</si>
  <si>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</si>
  <si>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</si>
  <si>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</si>
  <si>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</si>
  <si>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</si>
  <si>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</si>
  <si>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</si>
  <si>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</si>
  <si>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</si>
  <si>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</si>
  <si>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</si>
  <si>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</si>
  <si>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</si>
  <si>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</si>
  <si>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</si>
  <si>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</si>
  <si>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</si>
  <si>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</si>
  <si>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</si>
  <si>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</si>
  <si>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</si>
  <si>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</si>
  <si>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</si>
  <si>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</si>
  <si>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</si>
  <si>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</si>
  <si>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</si>
  <si>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</si>
  <si>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</si>
  <si>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</si>
  <si>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</si>
  <si>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</si>
  <si>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</si>
  <si>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</si>
  <si>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</si>
  <si>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</si>
  <si>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</si>
  <si>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</si>
  <si>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</si>
  <si>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</si>
  <si>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</si>
  <si>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</si>
  <si>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</si>
  <si>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</si>
  <si>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</si>
  <si>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</si>
  <si>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</si>
  <si>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</si>
  <si>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</si>
  <si>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</si>
  <si>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</si>
  <si>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</si>
  <si>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</si>
  <si>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</si>
  <si>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</si>
  <si>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</si>
  <si>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</si>
  <si>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</si>
  <si>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</si>
  <si>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</si>
  <si>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</si>
  <si>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</si>
  <si>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</si>
  <si>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</si>
  <si>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</si>
  <si>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</si>
  <si>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</si>
  <si>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</si>
  <si>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</si>
  <si>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</si>
  <si>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</si>
  <si>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</si>
  <si>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</si>
  <si>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</si>
  <si>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</si>
  <si>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</si>
  <si>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</si>
  <si>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</si>
  <si>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</si>
  <si>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</si>
  <si>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</si>
  <si>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</si>
  <si>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</si>
  <si>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</si>
  <si>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</si>
  <si>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</si>
  <si>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</si>
  <si>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</si>
  <si>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</si>
  <si>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</si>
  <si>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</si>
  <si>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</si>
  <si>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</si>
  <si>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</si>
  <si>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</si>
  <si>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</si>
  <si>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</si>
  <si>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</si>
  <si>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</si>
  <si>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</si>
  <si>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</si>
  <si>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</si>
  <si>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</si>
  <si>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</si>
  <si>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</si>
  <si>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</si>
  <si>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</si>
  <si>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</si>
  <si>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</si>
  <si>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</si>
  <si>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</si>
  <si>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</si>
  <si>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</si>
  <si>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</si>
  <si>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</si>
  <si>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</si>
  <si>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</si>
  <si>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</si>
  <si>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</si>
  <si>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</si>
  <si>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</si>
  <si>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</si>
  <si>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</si>
  <si>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</si>
  <si>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</si>
  <si>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</si>
  <si>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</si>
  <si>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</si>
  <si>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</si>
  <si>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</si>
  <si>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</si>
  <si>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</si>
  <si>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</si>
  <si>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</si>
  <si>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</si>
  <si>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</si>
  <si>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</si>
  <si>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</si>
  <si>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</si>
  <si>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</si>
  <si>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</si>
  <si>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</si>
  <si>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</si>
  <si>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</si>
  <si>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</si>
  <si>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</si>
  <si>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</si>
  <si>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</si>
  <si>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</si>
  <si>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</si>
  <si>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</si>
  <si>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</si>
  <si>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</si>
  <si>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</si>
  <si>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</si>
  <si>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</si>
  <si>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</si>
  <si>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</si>
  <si>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</si>
  <si>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</si>
  <si>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</si>
  <si>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</si>
  <si>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</si>
  <si>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</si>
  <si>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</si>
  <si>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</si>
  <si>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</si>
  <si>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</si>
  <si>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</si>
  <si>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</si>
  <si>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</si>
  <si>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</si>
  <si>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</si>
  <si>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</si>
  <si>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</si>
  <si>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</si>
  <si>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</si>
  <si>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</si>
  <si>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</si>
  <si>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</si>
  <si>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</si>
  <si>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</si>
  <si>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</si>
  <si>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</si>
  <si>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</si>
  <si>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</si>
  <si>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</si>
  <si>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</si>
  <si>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</si>
  <si>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</si>
  <si>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</si>
  <si>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</si>
  <si>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</si>
  <si>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</si>
  <si>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</si>
  <si>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</si>
  <si>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</si>
  <si>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</si>
  <si>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</si>
  <si>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</si>
  <si>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</si>
  <si>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</si>
  <si>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</si>
  <si>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</si>
  <si>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</si>
  <si>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</si>
  <si>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</si>
  <si>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</si>
  <si>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</si>
  <si>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</si>
  <si>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</si>
  <si>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</si>
  <si>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</si>
  <si>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</si>
  <si>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</si>
  <si>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</si>
  <si>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</si>
  <si>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</si>
  <si>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</si>
  <si>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</si>
  <si>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</si>
  <si>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</si>
  <si>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</si>
  <si>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</si>
  <si>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</si>
  <si>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</si>
  <si>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</si>
  <si>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</si>
  <si>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</si>
  <si>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</si>
  <si>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</si>
  <si>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</si>
  <si>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</si>
  <si>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</si>
  <si>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</si>
  <si>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</si>
  <si>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</si>
  <si>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</si>
  <si>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</si>
  <si>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</si>
  <si>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</si>
  <si>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</si>
  <si>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</si>
  <si>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</si>
  <si>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</si>
  <si>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</si>
  <si>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</si>
  <si>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</si>
  <si>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</si>
  <si>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</si>
  <si>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</si>
  <si>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</si>
  <si>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</si>
  <si>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</si>
  <si>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</si>
  <si>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</si>
  <si>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</si>
  <si>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</si>
  <si>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</si>
  <si>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</si>
  <si>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</si>
  <si>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</si>
  <si>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</si>
  <si>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</si>
  <si>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</si>
  <si>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</si>
  <si>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</si>
  <si>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</si>
  <si>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</si>
  <si>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</si>
  <si>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</si>
  <si>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</si>
  <si>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</si>
  <si>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</si>
  <si>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</si>
  <si>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</si>
  <si>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</si>
  <si>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</si>
  <si>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</si>
  <si>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</si>
  <si>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</si>
  <si>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</si>
  <si>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</si>
  <si>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</si>
  <si>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</si>
  <si>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</si>
  <si>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</si>
  <si>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</si>
  <si>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</si>
  <si>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</si>
  <si>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</si>
  <si>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</si>
  <si>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</si>
  <si>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</si>
  <si>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</si>
  <si>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</si>
  <si>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</si>
  <si>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</si>
  <si>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</si>
  <si>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</si>
  <si>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</si>
  <si>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</si>
  <si>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</si>
  <si>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</si>
  <si>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</si>
  <si>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</si>
  <si>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</si>
  <si>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</si>
  <si>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</si>
  <si>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</si>
  <si>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</si>
  <si>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</si>
  <si>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</si>
  <si>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</si>
  <si>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</si>
  <si>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</si>
  <si>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</si>
  <si>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</si>
  <si>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</si>
  <si>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</si>
  <si>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</si>
  <si>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</si>
  <si>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</si>
  <si>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</si>
  <si>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</si>
  <si>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</si>
  <si>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</si>
  <si>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</si>
  <si>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</si>
  <si>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</si>
  <si>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</si>
  <si>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</si>
  <si>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</si>
  <si>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</si>
  <si>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</si>
  <si>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</si>
  <si>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</si>
  <si>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</si>
  <si>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</si>
  <si>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</si>
  <si>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</si>
  <si>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</si>
  <si>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</si>
  <si>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</si>
  <si>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</si>
  <si>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</si>
  <si>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</si>
  <si>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</si>
  <si>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</si>
  <si>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</si>
  <si>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</si>
  <si>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</si>
  <si>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</si>
  <si>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</si>
  <si>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</si>
  <si>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</si>
  <si>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</si>
  <si>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</si>
  <si>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</si>
  <si>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</si>
  <si>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</si>
  <si>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</si>
  <si>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</si>
  <si>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</si>
  <si>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</si>
  <si>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</si>
  <si>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</si>
  <si>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</si>
  <si>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</si>
  <si>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</si>
  <si>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</si>
  <si>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</si>
  <si>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</si>
  <si>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</si>
  <si>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</si>
  <si>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</si>
  <si>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</si>
  <si>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</si>
  <si>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</si>
  <si>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</si>
  <si>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</si>
  <si>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</si>
  <si>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</si>
  <si>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</si>
  <si>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</si>
  <si>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</si>
  <si>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</si>
  <si>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</si>
  <si>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</si>
  <si>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</si>
  <si>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</si>
  <si>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</si>
  <si>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</si>
  <si>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</si>
  <si>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</si>
  <si>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</si>
  <si>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</si>
  <si>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</si>
  <si>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</si>
  <si>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</si>
  <si>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</si>
  <si>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</si>
  <si>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</si>
  <si>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</si>
  <si>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</si>
  <si>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</si>
  <si>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</si>
  <si>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</si>
  <si>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</si>
  <si>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</si>
  <si>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</si>
  <si>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</si>
  <si>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</si>
  <si>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</si>
  <si>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</si>
  <si>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</si>
  <si>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</si>
  <si>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</si>
  <si>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</si>
  <si>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</si>
  <si>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</si>
  <si>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</si>
  <si>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</si>
  <si>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</si>
  <si>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</si>
  <si>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</si>
  <si>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</si>
  <si>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</si>
  <si>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</si>
  <si>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</si>
  <si>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</si>
  <si>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</si>
  <si>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</si>
  <si>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</si>
  <si>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</si>
  <si>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</si>
  <si>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</si>
  <si>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</si>
  <si>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</si>
  <si>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</si>
  <si>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</si>
  <si>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</si>
  <si>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</si>
  <si>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</si>
  <si>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</si>
  <si>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</si>
  <si>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</si>
  <si>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</si>
  <si>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</si>
  <si>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</si>
  <si>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</si>
  <si>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</si>
  <si>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</si>
  <si>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</si>
  <si>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</si>
  <si>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</si>
  <si>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</si>
  <si>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</si>
  <si>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</si>
  <si>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</si>
  <si>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</si>
  <si>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</si>
  <si>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</si>
  <si>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</si>
  <si>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</si>
  <si>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</si>
  <si>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</si>
  <si>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</si>
  <si>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</si>
  <si>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</si>
  <si>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</si>
  <si>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</si>
  <si>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</si>
  <si>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</si>
  <si>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</si>
  <si>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</si>
  <si>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</si>
  <si>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</si>
  <si>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</si>
  <si>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</si>
  <si>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</si>
  <si>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</si>
  <si>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</si>
  <si>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</si>
  <si>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</si>
  <si>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</si>
  <si>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</si>
  <si>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</si>
  <si>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</si>
  <si>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</si>
  <si>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</si>
  <si>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</si>
  <si>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</si>
  <si>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</si>
  <si>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</si>
  <si>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</si>
  <si>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</si>
  <si>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</si>
  <si>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</si>
  <si>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</si>
  <si>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</si>
  <si>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</si>
  <si>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</si>
  <si>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</si>
  <si>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</si>
  <si>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</si>
  <si>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</si>
  <si>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</si>
  <si>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</si>
  <si>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</si>
  <si>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</si>
  <si>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</si>
  <si>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</si>
  <si>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</si>
  <si>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</si>
  <si>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</si>
  <si>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</si>
  <si>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</si>
  <si>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</si>
  <si>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</si>
  <si>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</si>
  <si>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</si>
  <si>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</si>
  <si>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</si>
  <si>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</si>
  <si>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</si>
  <si>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</si>
  <si>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</si>
  <si>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</si>
  <si>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</si>
  <si>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</si>
  <si>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</si>
  <si>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</si>
  <si>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</si>
  <si>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</si>
  <si>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</si>
  <si>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</si>
  <si>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</si>
  <si>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</si>
  <si>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</si>
  <si>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</si>
  <si>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</si>
  <si>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</si>
  <si>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</si>
  <si>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</si>
  <si>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</si>
  <si>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</si>
  <si>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</si>
  <si>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</si>
  <si>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</si>
  <si>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</si>
  <si>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</si>
  <si>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</si>
  <si>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</si>
  <si>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</si>
  <si>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</si>
  <si>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</si>
  <si>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</si>
  <si>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</si>
  <si>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</si>
  <si>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</si>
  <si>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</si>
  <si>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</si>
  <si>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</si>
  <si>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</si>
  <si>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</si>
  <si>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</si>
  <si>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</si>
  <si>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</si>
  <si>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</si>
  <si>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</si>
  <si>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</si>
  <si>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</si>
  <si>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</si>
  <si>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</si>
  <si>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</si>
  <si>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</si>
  <si>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</si>
  <si>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</si>
  <si>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</si>
  <si>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</si>
  <si>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</si>
  <si>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</si>
  <si>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</si>
  <si>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</si>
  <si>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</si>
  <si>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</si>
  <si>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</si>
  <si>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</si>
  <si>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</si>
  <si>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</si>
  <si>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</si>
  <si>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</si>
  <si>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</si>
  <si>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</si>
  <si>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</si>
  <si>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</si>
  <si>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</si>
  <si>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</si>
  <si>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</si>
  <si>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</si>
  <si>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</si>
  <si>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</si>
  <si>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</si>
  <si>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</si>
  <si>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</si>
  <si>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</si>
  <si>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</si>
  <si>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</si>
  <si>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</si>
  <si>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</si>
  <si>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</si>
  <si>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</si>
  <si>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</si>
  <si>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</si>
  <si>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</si>
  <si>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</si>
  <si>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</si>
  <si>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</si>
  <si>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</si>
  <si>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</si>
  <si>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</si>
  <si>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</si>
  <si>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</si>
  <si>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</si>
  <si>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</si>
  <si>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</si>
  <si>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</si>
  <si>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</si>
  <si>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</si>
  <si>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</si>
  <si>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</si>
  <si>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</si>
  <si>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</si>
  <si>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</si>
  <si>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</si>
  <si>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</si>
  <si>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</si>
  <si>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</si>
  <si>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</si>
  <si>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</si>
  <si>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</si>
  <si>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</si>
  <si>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</si>
  <si>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</si>
  <si>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</si>
  <si>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</si>
  <si>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</si>
  <si>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</si>
  <si>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</si>
  <si>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</si>
  <si>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</si>
  <si>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</si>
  <si>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</si>
  <si>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</si>
  <si>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</si>
  <si>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</si>
  <si>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</si>
  <si>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</si>
  <si>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</si>
  <si>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</si>
  <si>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</si>
  <si>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</si>
  <si>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</si>
  <si>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</si>
  <si>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</si>
  <si>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</si>
  <si>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</si>
  <si>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</si>
  <si>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</si>
  <si>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</si>
  <si>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</si>
  <si>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</si>
  <si>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</si>
  <si>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</si>
  <si>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</si>
  <si>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</si>
  <si>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</si>
  <si>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</si>
  <si>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</si>
  <si>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</si>
  <si>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</si>
  <si>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</si>
  <si>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</si>
  <si>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</si>
  <si>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</si>
  <si>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</si>
  <si>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</si>
  <si>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</si>
  <si>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</si>
  <si>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</si>
  <si>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</si>
  <si>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</si>
  <si>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</si>
  <si>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</si>
  <si>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</si>
  <si>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</si>
  <si>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</si>
  <si>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</si>
  <si>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</si>
  <si>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</si>
  <si>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</si>
  <si>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</si>
  <si>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</si>
  <si>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</si>
  <si>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</si>
  <si>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</si>
  <si>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</si>
  <si>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</si>
  <si>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</si>
  <si>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</si>
  <si>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</si>
  <si>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</si>
  <si>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</si>
  <si>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</si>
  <si>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</si>
  <si>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</si>
  <si>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</si>
  <si>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</si>
  <si>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</si>
  <si>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</si>
  <si>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</si>
  <si>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</si>
  <si>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</si>
  <si>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</si>
  <si>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</si>
  <si>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</si>
  <si>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</si>
  <si>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</si>
  <si>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</si>
  <si>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</si>
  <si>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</si>
  <si>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</si>
  <si>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</si>
  <si>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</si>
  <si>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</si>
  <si>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</si>
  <si>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</si>
  <si>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</si>
  <si>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</si>
  <si>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</si>
  <si>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</si>
  <si>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</si>
  <si>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</si>
  <si>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</si>
  <si>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</si>
  <si>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</si>
  <si>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</si>
  <si>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</si>
  <si>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</si>
  <si>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</si>
  <si>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</si>
  <si>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</si>
  <si>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</si>
  <si>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</si>
  <si>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</si>
  <si>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</si>
  <si>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</si>
  <si>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</si>
  <si>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</si>
  <si>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</si>
  <si>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</si>
  <si>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</si>
  <si>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</si>
  <si>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</si>
  <si>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</si>
  <si>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</si>
  <si>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</si>
  <si>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</si>
  <si>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</si>
  <si>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</si>
  <si>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</si>
  <si>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</si>
  <si>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</si>
  <si>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</si>
  <si>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</si>
  <si>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</si>
  <si>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</si>
  <si>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</si>
  <si>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</si>
  <si>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</si>
  <si>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</si>
  <si>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</si>
  <si>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</si>
  <si>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</si>
  <si>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</si>
  <si>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</si>
  <si>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</si>
  <si>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</si>
  <si>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</si>
  <si>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</si>
  <si>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</si>
  <si>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</si>
  <si>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</si>
  <si>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</si>
  <si>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</si>
  <si>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</si>
  <si>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</si>
  <si>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</si>
  <si>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</si>
  <si>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</si>
  <si>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</si>
  <si>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</si>
  <si>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</si>
  <si>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</si>
  <si>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</si>
  <si>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</si>
  <si>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</si>
  <si>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</si>
  <si>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</si>
  <si>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</si>
  <si>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</si>
  <si>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</si>
  <si>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</si>
  <si>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</si>
  <si>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</si>
  <si>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</si>
  <si>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</si>
  <si>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</si>
  <si>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</si>
  <si>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</si>
  <si>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</si>
  <si>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</si>
  <si>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</si>
  <si>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</si>
  <si>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</si>
  <si>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</si>
  <si>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</si>
  <si>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</si>
  <si>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</si>
  <si>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</si>
  <si>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</si>
  <si>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</si>
  <si>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</si>
  <si>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</si>
  <si>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</si>
  <si>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</si>
  <si>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</si>
  <si>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</si>
  <si>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</si>
  <si>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</si>
  <si>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</si>
  <si>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</si>
  <si>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</si>
  <si>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</si>
  <si>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</si>
  <si>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</si>
  <si>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</si>
  <si>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</si>
  <si>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</si>
  <si>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</si>
  <si>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</si>
  <si>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</si>
  <si>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</si>
  <si>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</si>
  <si>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</si>
  <si>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</si>
  <si>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</si>
  <si>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</si>
  <si>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</si>
  <si>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</si>
  <si>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</si>
  <si>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</si>
  <si>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</si>
  <si>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</si>
  <si>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</si>
  <si>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</si>
  <si>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</si>
  <si>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</si>
  <si>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</si>
  <si>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</si>
  <si>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</si>
  <si>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</si>
  <si>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</si>
  <si>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</si>
  <si>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</si>
  <si>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</si>
  <si>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</si>
  <si>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</si>
  <si>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</si>
  <si>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</si>
  <si>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</si>
  <si>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</si>
  <si>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</si>
  <si>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</si>
  <si>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</si>
  <si>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</si>
  <si>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</si>
  <si>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</si>
  <si>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</si>
  <si>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</si>
  <si>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</si>
  <si>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</si>
  <si>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</si>
  <si>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</si>
  <si>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</si>
  <si>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</si>
  <si>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</si>
  <si>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</si>
  <si>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</si>
  <si>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</si>
  <si>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</si>
  <si>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</si>
  <si>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</si>
  <si>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</si>
  <si>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</si>
  <si>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</si>
  <si>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</si>
  <si>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</si>
  <si>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</si>
  <si>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</si>
  <si>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</si>
  <si>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</si>
  <si>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</si>
  <si>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</si>
  <si>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</si>
  <si>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</si>
  <si>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</si>
  <si>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</si>
  <si>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</si>
  <si>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</si>
  <si>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</si>
  <si>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</si>
  <si>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</si>
  <si>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</si>
  <si>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</si>
  <si>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</si>
  <si>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</si>
  <si>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</si>
  <si>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</si>
  <si>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</si>
  <si>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</si>
  <si>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</si>
  <si>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</si>
  <si>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</si>
  <si>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</si>
  <si>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</si>
  <si>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</si>
  <si>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</si>
  <si>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</si>
  <si>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</si>
  <si>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</si>
  <si>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</si>
  <si>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</si>
  <si>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</si>
  <si>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</si>
  <si>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</si>
  <si>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</si>
  <si>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</si>
  <si>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</si>
  <si>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</si>
  <si>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</si>
  <si>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</si>
  <si>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</si>
  <si>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</si>
  <si>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</si>
  <si>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</si>
  <si>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</si>
  <si>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</si>
  <si>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</si>
  <si>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</si>
  <si>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</si>
  <si>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</si>
  <si>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</si>
  <si>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</si>
  <si>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</si>
  <si>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</si>
  <si>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</si>
  <si>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</si>
  <si>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</si>
  <si>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</si>
  <si>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</si>
  <si>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</si>
  <si>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</si>
  <si>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</si>
  <si>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</si>
  <si>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</si>
  <si>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</si>
  <si>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</si>
  <si>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</si>
  <si>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</si>
  <si>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</si>
  <si>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</si>
  <si>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</si>
  <si>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</si>
  <si>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</si>
  <si>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</si>
  <si>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</si>
  <si>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</si>
  <si>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</si>
  <si>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</si>
  <si>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</si>
  <si>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</si>
  <si>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</si>
  <si>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</si>
  <si>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</si>
  <si>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</si>
  <si>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</si>
  <si>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</si>
  <si>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</si>
  <si>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</si>
  <si>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</si>
  <si>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</si>
  <si>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</si>
  <si>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</si>
  <si>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</si>
  <si>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</si>
  <si>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</si>
  <si>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</si>
  <si>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</si>
  <si>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</si>
  <si>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</si>
  <si>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</si>
  <si>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</si>
  <si>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</si>
  <si>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</si>
  <si>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</si>
  <si>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</si>
  <si>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</si>
  <si>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</si>
  <si>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</si>
  <si>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</si>
  <si>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</si>
  <si>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</si>
  <si>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</si>
  <si>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</si>
  <si>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</si>
  <si>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</si>
  <si>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</si>
  <si>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</si>
  <si>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</si>
  <si>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</si>
  <si>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</si>
  <si>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</si>
  <si>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</si>
  <si>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</si>
  <si>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</si>
  <si>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</si>
  <si>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</si>
  <si>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</si>
  <si>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</si>
  <si>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</si>
  <si>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</si>
  <si>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</si>
  <si>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</si>
  <si>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</si>
  <si>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</si>
  <si>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</si>
  <si>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</si>
  <si>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</si>
  <si>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</si>
  <si>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</si>
  <si>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</si>
  <si>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</si>
  <si>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</si>
  <si>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</si>
  <si>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</si>
  <si>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</si>
  <si>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</si>
  <si>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</si>
  <si>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</si>
  <si>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</si>
  <si>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</si>
  <si>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</si>
  <si>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</si>
  <si>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</si>
  <si>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</si>
  <si>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</si>
  <si>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</si>
  <si>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</si>
  <si>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</si>
  <si>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</si>
  <si>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</si>
  <si>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</si>
  <si>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</si>
  <si>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</si>
  <si>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</si>
  <si>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</si>
  <si>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</si>
  <si>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</si>
  <si>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</si>
  <si>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</si>
  <si>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</si>
  <si>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</si>
  <si>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</si>
  <si>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</si>
  <si>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</si>
  <si>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</si>
  <si>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</si>
  <si>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</si>
  <si>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</si>
  <si>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</si>
  <si>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</si>
  <si>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</si>
  <si>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</si>
  <si>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</si>
  <si>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</si>
  <si>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</si>
  <si>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</si>
  <si>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</si>
  <si>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</si>
  <si>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</si>
  <si>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</si>
  <si>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</si>
  <si>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</si>
  <si>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</si>
  <si>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</si>
  <si>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</si>
  <si>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</si>
  <si>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</si>
  <si>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</si>
  <si>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</si>
  <si>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</si>
  <si>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</si>
  <si>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</si>
  <si>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</si>
  <si>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</si>
  <si>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</si>
  <si>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</si>
  <si>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</si>
  <si>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</si>
  <si>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</si>
  <si>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</si>
  <si>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</si>
  <si>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</si>
  <si>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</si>
  <si>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</si>
  <si>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</si>
  <si>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</si>
  <si>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</si>
  <si>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</si>
  <si>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</si>
  <si>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</si>
  <si>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</si>
  <si>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</si>
  <si>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</si>
  <si>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</si>
  <si>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</si>
  <si>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</si>
  <si>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</si>
  <si>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</si>
  <si>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</si>
  <si>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</si>
  <si>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</si>
  <si>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</si>
  <si>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</si>
  <si>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</si>
  <si>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</si>
  <si>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</si>
  <si>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</si>
  <si>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</si>
  <si>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</si>
  <si>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</si>
  <si>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</si>
  <si>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</si>
  <si>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</si>
  <si>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</si>
  <si>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</si>
  <si>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</si>
  <si>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</si>
  <si>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</si>
  <si>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</si>
  <si>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</si>
  <si>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</si>
  <si>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</si>
  <si>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</si>
  <si>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</si>
  <si>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</si>
  <si>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</si>
  <si>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</si>
  <si>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</si>
  <si>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</si>
  <si>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</si>
  <si>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</si>
  <si>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</si>
  <si>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</si>
  <si>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</si>
  <si>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</si>
  <si>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</si>
  <si>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</si>
  <si>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</si>
  <si>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</si>
  <si>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</si>
  <si>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</si>
  <si>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</si>
  <si>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</si>
  <si>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</si>
  <si>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</si>
  <si>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</si>
  <si>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</si>
  <si>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</si>
  <si>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</si>
  <si>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</si>
  <si>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</si>
  <si>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</si>
  <si>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</si>
  <si>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</si>
  <si>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</si>
  <si>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</si>
  <si>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</si>
  <si>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</si>
  <si>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</si>
  <si>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</si>
  <si>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</si>
  <si>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</si>
  <si>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</si>
  <si>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</si>
  <si>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</si>
  <si>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</si>
  <si>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</si>
  <si>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</si>
  <si>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</si>
  <si>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</si>
  <si>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</si>
  <si>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</si>
  <si>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</si>
  <si>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</si>
  <si>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</si>
  <si>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</si>
  <si>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</si>
  <si>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</si>
  <si>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</si>
  <si>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</si>
  <si>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</si>
  <si>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</si>
  <si>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</si>
  <si>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</si>
  <si>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</si>
  <si>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</si>
  <si>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</si>
  <si>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</si>
  <si>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</si>
  <si>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</si>
  <si>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</si>
  <si>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</si>
  <si>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</si>
  <si>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</si>
  <si>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</si>
  <si>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</si>
  <si>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</si>
  <si>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</si>
  <si>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</si>
  <si>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</si>
  <si>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</si>
  <si>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</si>
  <si>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</si>
  <si>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</si>
  <si>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</si>
  <si>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</si>
  <si>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</si>
  <si>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</si>
  <si>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</si>
  <si>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</si>
  <si>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</si>
  <si>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</si>
  <si>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</si>
  <si>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</si>
  <si>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</si>
  <si>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</si>
  <si>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</si>
  <si>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</si>
  <si>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</si>
  <si>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</si>
  <si>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</si>
  <si>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</si>
  <si>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</si>
  <si>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</si>
  <si>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</si>
  <si>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</si>
  <si>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</si>
  <si>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</si>
  <si>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</si>
  <si>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</si>
  <si>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</si>
  <si>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</si>
  <si>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</si>
  <si>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</si>
  <si>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</si>
  <si>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</si>
  <si>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</si>
  <si>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</si>
  <si>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</si>
  <si>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</si>
  <si>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</si>
  <si>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</si>
  <si>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</si>
  <si>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</si>
  <si>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</si>
  <si>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</si>
  <si>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</si>
  <si>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</si>
  <si>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</si>
  <si>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</si>
  <si>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</si>
  <si>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</si>
  <si>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</si>
  <si>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</si>
  <si>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</si>
  <si>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</si>
  <si>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</si>
  <si>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</si>
  <si>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</si>
  <si>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</si>
  <si>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</si>
  <si>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</si>
  <si>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</si>
  <si>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</si>
  <si>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</si>
  <si>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</si>
  <si>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</si>
  <si>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</si>
  <si>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</si>
  <si>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</si>
  <si>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</si>
  <si>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</si>
  <si>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</si>
  <si>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</si>
  <si>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</si>
  <si>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</si>
  <si>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</si>
  <si>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</si>
  <si>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</si>
  <si>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</si>
  <si>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</si>
  <si>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</si>
  <si>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</si>
  <si>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</si>
  <si>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</si>
  <si>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</si>
  <si>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</si>
  <si>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</si>
  <si>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</si>
  <si>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</si>
  <si>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</si>
  <si>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</si>
  <si>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</si>
  <si>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</si>
  <si>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</si>
  <si>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</si>
  <si>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</si>
  <si>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</si>
  <si>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</si>
  <si>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</si>
  <si>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</si>
  <si>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</si>
  <si>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</si>
  <si>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</si>
  <si>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</si>
  <si>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</si>
  <si>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</si>
  <si>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</si>
  <si>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</si>
  <si>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</si>
  <si>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</si>
  <si>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</si>
  <si>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</si>
  <si>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</si>
  <si>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</si>
  <si>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</si>
  <si>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</si>
  <si>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</si>
  <si>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</si>
  <si>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</si>
  <si>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</si>
  <si>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</si>
  <si>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</si>
  <si>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</si>
  <si>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</si>
  <si>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</si>
  <si>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</si>
  <si>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</si>
  <si>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</si>
  <si>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</si>
  <si>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</si>
  <si>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</si>
  <si>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</si>
  <si>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</si>
  <si>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</si>
  <si>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</si>
  <si>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</si>
  <si>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</si>
  <si>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</si>
  <si>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</si>
  <si>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</si>
  <si>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</si>
  <si>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</si>
  <si>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</si>
  <si>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</si>
  <si>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</si>
  <si>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</si>
  <si>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</si>
  <si>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</si>
  <si>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</si>
  <si>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</si>
  <si>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</si>
  <si>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</si>
  <si>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</si>
  <si>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</si>
  <si>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</si>
  <si>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</si>
  <si>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</si>
  <si>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</si>
  <si>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</si>
  <si>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</si>
  <si>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</si>
  <si>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</si>
  <si>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</si>
  <si>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</si>
  <si>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</si>
  <si>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</si>
  <si>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</si>
  <si>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</si>
  <si>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</si>
  <si>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</si>
  <si>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</si>
  <si>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</si>
  <si>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</si>
  <si>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</si>
  <si>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</si>
  <si>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</si>
  <si>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</si>
  <si>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</si>
  <si>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</si>
  <si>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</si>
  <si>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</si>
  <si>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</si>
  <si>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</si>
  <si>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</si>
  <si>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</si>
  <si>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</si>
  <si>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</si>
  <si>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</si>
  <si>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</si>
  <si>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</si>
  <si>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</si>
  <si>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</si>
  <si>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</si>
  <si>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</si>
  <si>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</si>
  <si>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</si>
  <si>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</si>
  <si>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</si>
  <si>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</si>
  <si>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</si>
  <si>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</si>
  <si>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</si>
  <si>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</si>
  <si>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</si>
  <si>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</si>
  <si>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</si>
  <si>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</si>
  <si>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</si>
  <si>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</si>
  <si>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</si>
  <si>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</si>
  <si>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</si>
  <si>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</si>
  <si>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</si>
  <si>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</si>
  <si>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</si>
  <si>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</si>
  <si>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</si>
  <si>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</si>
  <si>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</si>
  <si>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</si>
  <si>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</si>
  <si>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</si>
  <si>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</si>
  <si>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</si>
  <si>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</si>
  <si>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</si>
  <si>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</si>
  <si>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</si>
  <si>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</si>
  <si>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</si>
  <si>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</si>
  <si>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</si>
  <si>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</si>
  <si>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</si>
  <si>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</si>
  <si>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</si>
  <si>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</si>
  <si>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</si>
  <si>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</si>
  <si>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</si>
  <si>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</si>
  <si>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</si>
  <si>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</si>
  <si>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</si>
  <si>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</si>
  <si>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</si>
  <si>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</si>
  <si>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</si>
  <si>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</si>
  <si>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</si>
  <si>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</si>
  <si>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</si>
  <si>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</si>
  <si>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</si>
  <si>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</si>
  <si>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</si>
  <si>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</si>
  <si>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</si>
  <si>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</si>
  <si>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</si>
  <si>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</si>
  <si>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</si>
  <si>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</si>
  <si>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</si>
  <si>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</si>
  <si>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</si>
  <si>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</si>
  <si>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</si>
  <si>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</si>
  <si>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</si>
  <si>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</si>
  <si>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</si>
  <si>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</si>
  <si>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</si>
  <si>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</si>
  <si>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</si>
  <si>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</si>
  <si>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</si>
  <si>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</si>
  <si>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</si>
  <si>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</si>
  <si>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</si>
  <si>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</si>
  <si>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</si>
  <si>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</si>
  <si>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</si>
  <si>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</si>
  <si>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</si>
  <si>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</si>
  <si>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</si>
  <si>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</si>
  <si>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</si>
  <si>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</si>
  <si>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</si>
  <si>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</si>
  <si>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</si>
  <si>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</si>
  <si>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</si>
  <si>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</si>
  <si>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</si>
  <si>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</si>
  <si>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</si>
  <si>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</si>
  <si>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</si>
  <si>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</si>
  <si>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</si>
  <si>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</si>
  <si>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</si>
  <si>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</si>
  <si>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</si>
  <si>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</si>
  <si>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</si>
  <si>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</si>
  <si>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</si>
  <si>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</si>
  <si>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</si>
  <si>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</si>
  <si>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</si>
  <si>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</si>
  <si>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</si>
  <si>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</si>
  <si>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</si>
  <si>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</si>
  <si>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</si>
  <si>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</si>
  <si>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</si>
  <si>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</si>
  <si>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</si>
  <si>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</si>
  <si>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</si>
  <si>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</si>
  <si>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</si>
  <si>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</si>
  <si>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</si>
  <si>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</si>
  <si>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</si>
  <si>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</si>
  <si>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</si>
  <si>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</si>
  <si>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</si>
  <si>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</si>
  <si>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</si>
  <si>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</si>
  <si>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</si>
  <si>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</si>
  <si>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</si>
  <si>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</si>
  <si>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</si>
  <si>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</si>
  <si>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</si>
  <si>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</si>
  <si>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</si>
  <si>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</si>
  <si>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</si>
  <si>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</si>
  <si>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</si>
  <si>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</si>
  <si>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</si>
  <si>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</si>
  <si>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</si>
  <si>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</si>
  <si>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</si>
  <si>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</si>
  <si>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</si>
  <si>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</si>
  <si>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</si>
  <si>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</si>
  <si>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</si>
  <si>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</si>
  <si>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</si>
  <si>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</si>
  <si>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</si>
  <si>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</si>
  <si>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</si>
  <si>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</si>
  <si>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</si>
  <si>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</si>
  <si>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</si>
  <si>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</si>
  <si>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</si>
  <si>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</si>
  <si>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</si>
  <si>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</si>
  <si>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</si>
  <si>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</si>
  <si>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</si>
  <si>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</si>
  <si>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</si>
  <si>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</si>
  <si>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</si>
  <si>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</si>
  <si>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</si>
  <si>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</si>
  <si>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</si>
  <si>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</si>
  <si>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</si>
  <si>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</si>
  <si>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</si>
  <si>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</si>
  <si>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</si>
  <si>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</si>
  <si>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</si>
  <si>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</si>
  <si>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</si>
  <si>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</si>
  <si>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</si>
  <si>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</si>
  <si>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</si>
  <si>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</si>
  <si>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</si>
  <si>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</si>
  <si>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</si>
  <si>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</si>
  <si>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</si>
  <si>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</si>
  <si>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</si>
  <si>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</si>
  <si>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</si>
  <si>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</si>
  <si>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</si>
  <si>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</si>
  <si>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</si>
  <si>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</si>
  <si>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</si>
  <si>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</si>
  <si>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</si>
  <si>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</si>
  <si>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</si>
  <si>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</si>
  <si>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</si>
  <si>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</si>
  <si>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</si>
  <si>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</si>
  <si>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</si>
  <si>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</si>
  <si>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</si>
  <si>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</si>
  <si>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</si>
  <si>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</si>
  <si>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</si>
  <si>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</si>
  <si>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</si>
  <si>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</si>
  <si>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</si>
  <si>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</si>
  <si>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</si>
  <si>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</si>
  <si>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</si>
  <si>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</si>
  <si>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</si>
  <si>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</si>
  <si>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</si>
  <si>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</si>
  <si>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</si>
  <si>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</si>
  <si>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</si>
  <si>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</si>
  <si>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</si>
  <si>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</si>
  <si>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</si>
  <si>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</si>
  <si>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</si>
  <si>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</si>
  <si>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</si>
  <si>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</si>
  <si>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</si>
  <si>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</si>
  <si>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</si>
  <si>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</si>
  <si>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</si>
  <si>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</si>
  <si>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</si>
  <si>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</si>
  <si>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</si>
  <si>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</si>
  <si>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</si>
  <si>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</si>
  <si>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</si>
  <si>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</si>
  <si>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</si>
  <si>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</si>
  <si>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</si>
  <si>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</si>
  <si>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</si>
  <si>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</si>
  <si>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</si>
  <si>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</si>
  <si>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</si>
  <si>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</si>
  <si>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</si>
  <si>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</si>
  <si>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</si>
  <si>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</si>
  <si>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</si>
  <si>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</si>
  <si>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</si>
  <si>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</si>
  <si>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</si>
  <si>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</si>
  <si>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</si>
  <si>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</si>
  <si>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</si>
  <si>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</si>
  <si>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</si>
  <si>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</si>
  <si>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</si>
  <si>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</si>
  <si>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</si>
  <si>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</si>
  <si>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</si>
  <si>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</si>
  <si>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</si>
  <si>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</si>
  <si>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</si>
  <si>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</si>
  <si>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</si>
  <si>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</si>
  <si>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</si>
  <si>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</si>
  <si>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</si>
  <si>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</si>
  <si>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</si>
  <si>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</si>
  <si>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</si>
  <si>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</si>
  <si>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</si>
  <si>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</si>
  <si>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</si>
  <si>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</si>
  <si>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</si>
  <si>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</si>
  <si>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</si>
  <si>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</si>
  <si>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</si>
  <si>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</si>
  <si>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</si>
  <si>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</si>
  <si>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</si>
  <si>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</si>
  <si>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</si>
  <si>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</si>
  <si>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</si>
  <si>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</si>
  <si>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</si>
  <si>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</si>
  <si>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</si>
  <si>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</si>
  <si>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</si>
  <si>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</si>
  <si>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</si>
  <si>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</si>
  <si>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</si>
  <si>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</si>
  <si>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</si>
  <si>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</si>
  <si>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</si>
  <si>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</si>
  <si>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</si>
  <si>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</si>
  <si>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</si>
  <si>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</si>
  <si>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</si>
  <si>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</si>
  <si>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</si>
  <si>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</si>
  <si>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</si>
  <si>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</si>
  <si>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</si>
  <si>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</si>
  <si>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</si>
  <si>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</si>
  <si>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</si>
  <si>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</si>
  <si>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</si>
  <si>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</si>
  <si>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</si>
  <si>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</si>
  <si>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</si>
  <si>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</si>
  <si>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</si>
  <si>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</si>
  <si>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</si>
  <si>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</si>
  <si>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</si>
  <si>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</si>
  <si>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</si>
  <si>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</si>
  <si>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</si>
  <si>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</si>
  <si>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</si>
  <si>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</si>
  <si>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</si>
  <si>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</si>
  <si>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</si>
  <si>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</si>
  <si>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</si>
  <si>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</si>
  <si>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</si>
  <si>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</si>
  <si>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</si>
  <si>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</si>
  <si>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</si>
  <si>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</si>
  <si>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</si>
  <si>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</si>
  <si>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</si>
  <si>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</si>
  <si>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</si>
  <si>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</si>
  <si>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</si>
  <si>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</si>
  <si>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</si>
  <si>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</si>
  <si>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</si>
  <si>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</si>
  <si>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</si>
  <si>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</si>
  <si>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</si>
  <si>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</si>
  <si>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</si>
  <si>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</si>
  <si>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</si>
  <si>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</si>
  <si>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</si>
  <si>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</si>
  <si>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</si>
  <si>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</si>
  <si>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</si>
  <si>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</si>
  <si>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</si>
  <si>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</si>
  <si>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</si>
  <si>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</si>
  <si>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</si>
  <si>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</si>
  <si>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</si>
  <si>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</si>
  <si>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</si>
  <si>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</si>
  <si>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</si>
  <si>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</si>
  <si>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</si>
  <si>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</si>
  <si>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</si>
  <si>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</si>
  <si>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</si>
  <si>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</si>
  <si>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</si>
  <si>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</si>
  <si>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</si>
  <si>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</si>
  <si>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</si>
  <si>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</si>
  <si>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</si>
  <si>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</si>
  <si>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</si>
  <si>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</si>
  <si>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</si>
  <si>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</si>
  <si>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</si>
  <si>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</si>
  <si>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</si>
  <si>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</si>
  <si>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</si>
  <si>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</si>
  <si>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</si>
  <si>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</si>
  <si>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</si>
  <si>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</si>
  <si>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</si>
  <si>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</si>
  <si>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</si>
  <si>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</si>
  <si>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</si>
  <si>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</si>
  <si>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</si>
  <si>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</si>
  <si>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</si>
  <si>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</si>
  <si>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</si>
  <si>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</si>
  <si>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</si>
  <si>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</si>
  <si>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</si>
  <si>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</si>
  <si>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</si>
  <si>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</si>
  <si>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</si>
  <si>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</si>
  <si>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</si>
  <si>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</si>
  <si>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</si>
  <si>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</si>
  <si>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</si>
  <si>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</si>
  <si>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</si>
  <si>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</si>
  <si>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</si>
  <si>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</si>
  <si>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</si>
  <si>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</si>
  <si>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</si>
  <si>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</si>
  <si>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</si>
  <si>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</si>
  <si>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</si>
  <si>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</si>
  <si>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</si>
  <si>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</si>
  <si>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</si>
  <si>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</si>
  <si>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</si>
  <si>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</si>
  <si>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</si>
  <si>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</si>
  <si>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</si>
  <si>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</si>
  <si>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</si>
  <si>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</si>
  <si>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</si>
  <si>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</si>
  <si>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</si>
  <si>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</si>
  <si>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</si>
  <si>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</si>
  <si>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</si>
  <si>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</si>
  <si>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</si>
  <si>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</si>
  <si>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</si>
  <si>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</si>
  <si>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</si>
  <si>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</si>
  <si>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</si>
  <si>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</si>
  <si>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</si>
  <si>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</si>
  <si>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</si>
  <si>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</si>
  <si>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</si>
  <si>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</si>
  <si>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</si>
  <si>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</si>
  <si>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</si>
  <si>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</si>
  <si>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</si>
  <si>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</si>
  <si>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</si>
  <si>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</si>
  <si>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</si>
  <si>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</si>
  <si>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</si>
  <si>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</si>
  <si>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</si>
  <si>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</si>
  <si>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</si>
  <si>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</si>
  <si>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</si>
  <si>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</si>
  <si>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</si>
  <si>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</si>
  <si>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</si>
  <si>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</si>
  <si>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</si>
  <si>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</si>
  <si>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</si>
  <si>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</si>
  <si>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</si>
  <si>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</si>
  <si>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</si>
  <si>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</si>
  <si>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</si>
  <si>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</si>
  <si>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</si>
  <si>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</si>
  <si>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</si>
  <si>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</si>
  <si>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</si>
  <si>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</si>
  <si>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</si>
  <si>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</si>
  <si>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</si>
  <si>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</si>
  <si>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</si>
  <si>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</si>
  <si>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</si>
  <si>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</si>
  <si>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</si>
  <si>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</si>
  <si>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</si>
  <si>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</si>
  <si>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</si>
  <si>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</si>
  <si>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</si>
  <si>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</si>
  <si>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</si>
  <si>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</si>
  <si>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</si>
  <si>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</si>
  <si>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</si>
  <si>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</si>
  <si>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</si>
  <si>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</si>
  <si>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</si>
  <si>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</si>
  <si>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</si>
  <si>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</si>
  <si>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</si>
  <si>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</si>
  <si>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</si>
  <si>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</si>
  <si>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</si>
  <si>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</si>
  <si>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</si>
  <si>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</si>
  <si>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</si>
  <si>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</si>
  <si>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</si>
  <si>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</si>
  <si>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</si>
  <si>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</si>
  <si>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</si>
  <si>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</si>
  <si>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</si>
  <si>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</si>
  <si>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</si>
  <si>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</si>
  <si>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</si>
  <si>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</si>
  <si>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</si>
  <si>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</si>
  <si>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</si>
  <si>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</si>
  <si>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</si>
  <si>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</si>
  <si>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</si>
  <si>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</si>
  <si>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</si>
  <si>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</si>
  <si>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</si>
  <si>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</si>
  <si>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</si>
  <si>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</si>
  <si>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</si>
  <si>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</si>
  <si>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</si>
  <si>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</si>
  <si>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</si>
  <si>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</si>
  <si>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</si>
  <si>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</si>
  <si>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</si>
  <si>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</si>
  <si>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</si>
  <si>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</si>
  <si>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</si>
  <si>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</si>
  <si>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</si>
  <si>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</si>
  <si>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</si>
  <si>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</si>
  <si>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</si>
  <si>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</si>
  <si>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</si>
  <si>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</si>
  <si>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</si>
  <si>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</si>
  <si>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</si>
  <si>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</si>
  <si>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</si>
  <si>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</si>
  <si>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</si>
  <si>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</si>
  <si>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</si>
  <si>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</si>
  <si>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</si>
  <si>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</si>
  <si>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</si>
  <si>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</si>
  <si>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</si>
  <si>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</si>
  <si>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</si>
  <si>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</si>
  <si>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</si>
  <si>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</si>
  <si>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</si>
  <si>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</si>
  <si>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</si>
  <si>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</si>
  <si>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</si>
  <si>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</si>
  <si>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</si>
  <si>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</si>
  <si>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</si>
  <si>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</si>
  <si>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</si>
  <si>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</si>
  <si>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</si>
  <si>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</si>
  <si>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</si>
  <si>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</si>
  <si>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</si>
  <si>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</si>
  <si>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</si>
  <si>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</si>
  <si>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</si>
  <si>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</si>
  <si>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</si>
  <si>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</si>
  <si>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</si>
  <si>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</si>
  <si>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</si>
  <si>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</si>
  <si>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</si>
  <si>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</si>
  <si>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</si>
  <si>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</si>
  <si>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</si>
  <si>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</si>
  <si>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</si>
  <si>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</si>
  <si>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</si>
  <si>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</si>
  <si>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</si>
  <si>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</si>
  <si>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</si>
  <si>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</si>
  <si>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</si>
  <si>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</si>
  <si>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</si>
  <si>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</si>
  <si>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</si>
  <si>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</si>
  <si>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</si>
  <si>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</si>
  <si>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</si>
  <si>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</si>
  <si>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</si>
  <si>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</si>
  <si>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</si>
  <si>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</si>
  <si>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</si>
  <si>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</si>
  <si>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</si>
  <si>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</si>
  <si>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</si>
  <si>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</si>
  <si>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</si>
  <si>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</si>
  <si>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</si>
  <si>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</si>
  <si>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</si>
  <si>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</si>
  <si>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</si>
  <si>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</si>
  <si>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</si>
  <si>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</si>
  <si>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</si>
  <si>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</si>
  <si>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</si>
  <si>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</si>
  <si>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</si>
  <si>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</si>
  <si>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</si>
  <si>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</si>
  <si>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</si>
  <si>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</si>
  <si>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</si>
  <si>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</si>
  <si>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</si>
  <si>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</si>
  <si>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</si>
  <si>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</si>
  <si>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</si>
  <si>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</si>
  <si>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</si>
  <si>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</si>
  <si>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</si>
  <si>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</si>
  <si>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</si>
  <si>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</si>
  <si>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</si>
  <si>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</si>
  <si>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</si>
  <si>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</si>
  <si>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</si>
  <si>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</si>
  <si>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</si>
  <si>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</si>
  <si>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</si>
  <si>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</si>
  <si>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</si>
  <si>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</si>
  <si>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</si>
  <si>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</si>
  <si>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</si>
  <si>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</si>
  <si>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</si>
  <si>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</si>
  <si>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</si>
  <si>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</si>
  <si>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</si>
  <si>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</si>
  <si>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</si>
  <si>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</si>
  <si>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</si>
  <si>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</si>
  <si>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</si>
  <si>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</si>
  <si>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</si>
  <si>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</si>
  <si>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</si>
  <si>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</si>
  <si>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</si>
  <si>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</si>
  <si>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</si>
  <si>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</si>
  <si>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</si>
  <si>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</si>
  <si>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</si>
  <si>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</si>
  <si>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</si>
  <si>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</si>
  <si>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</si>
  <si>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</si>
  <si>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</si>
  <si>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</si>
  <si>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</si>
  <si>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</si>
  <si>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</si>
  <si>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</si>
  <si>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</si>
  <si>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</si>
  <si>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</si>
  <si>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</si>
  <si>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</si>
  <si>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</si>
  <si>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</si>
  <si>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</si>
  <si>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</si>
  <si>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</si>
  <si>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</si>
  <si>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</si>
  <si>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</si>
  <si>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</si>
  <si>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</si>
  <si>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</si>
  <si>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</si>
  <si>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</si>
  <si>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</si>
  <si>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</si>
  <si>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</si>
  <si>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</si>
  <si>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</si>
  <si>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</si>
  <si>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</si>
  <si>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</si>
  <si>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</si>
  <si>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</si>
  <si>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</si>
  <si>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</si>
  <si>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</si>
  <si>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</si>
  <si>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</si>
  <si>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</si>
  <si>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</si>
  <si>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</si>
  <si>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</si>
  <si>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</si>
  <si>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</si>
  <si>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</si>
  <si>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</si>
  <si>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</si>
  <si>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</si>
  <si>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</si>
  <si>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</si>
  <si>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</si>
  <si>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</si>
  <si>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</si>
  <si>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</si>
  <si>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</si>
  <si>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</si>
  <si>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</si>
  <si>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</si>
  <si>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</si>
  <si>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</si>
  <si>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</si>
  <si>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</si>
  <si>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</si>
  <si>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</si>
  <si>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</si>
  <si>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</si>
  <si>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</si>
  <si>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</si>
  <si>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</si>
  <si>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</si>
  <si>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</si>
  <si>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</si>
  <si>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</si>
  <si>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</si>
  <si>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</si>
  <si>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</si>
  <si>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</si>
  <si>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</si>
  <si>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</si>
  <si>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</si>
  <si>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</si>
  <si>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</si>
  <si>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</si>
  <si>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</si>
  <si>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</si>
  <si>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</si>
  <si>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</si>
  <si>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</si>
  <si>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</si>
  <si>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</si>
  <si>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</si>
  <si>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</si>
  <si>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</si>
  <si>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</si>
  <si>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</si>
  <si>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</si>
  <si>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</si>
  <si>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</si>
  <si>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</si>
  <si>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</si>
  <si>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</si>
  <si>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</si>
  <si>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</si>
  <si>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</si>
  <si>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</si>
  <si>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</si>
  <si>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</si>
  <si>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</si>
  <si>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</si>
  <si>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</si>
  <si>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</si>
  <si>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</si>
  <si>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</si>
  <si>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</si>
  <si>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</si>
  <si>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</si>
  <si>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</si>
  <si>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</si>
  <si>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</si>
  <si>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</si>
  <si>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</si>
  <si>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</si>
  <si>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</si>
  <si>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</si>
  <si>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</si>
  <si>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</si>
  <si>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</si>
  <si>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</si>
  <si>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</si>
  <si>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</si>
  <si>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</si>
  <si>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</si>
  <si>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</si>
  <si>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</si>
  <si>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</si>
  <si>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</si>
  <si>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</si>
  <si>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</si>
  <si>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</si>
  <si>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</si>
  <si>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</si>
  <si>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</si>
  <si>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</si>
  <si>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</si>
  <si>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</si>
  <si>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</si>
  <si>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</si>
  <si>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</si>
  <si>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</si>
  <si>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</si>
  <si>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</si>
  <si>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</si>
  <si>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</si>
  <si>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</si>
  <si>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</si>
  <si>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</si>
  <si>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</si>
  <si>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</si>
  <si>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</si>
  <si>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</si>
  <si>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</si>
  <si>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</si>
  <si>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</si>
  <si>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</si>
  <si>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</si>
  <si>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</si>
  <si>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</si>
  <si>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</si>
  <si>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</si>
  <si>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</si>
  <si>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</si>
  <si>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</si>
  <si>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</si>
  <si>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</si>
  <si>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</si>
  <si>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</si>
  <si>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</si>
  <si>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</si>
  <si>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</si>
  <si>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</si>
  <si>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</si>
  <si>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</si>
  <si>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</si>
  <si>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</si>
  <si>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</si>
  <si>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</si>
  <si>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</si>
  <si>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</si>
  <si>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</si>
  <si>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</si>
  <si>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</si>
  <si>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</si>
  <si>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</si>
  <si>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</si>
  <si>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</si>
  <si>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</si>
  <si>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</si>
  <si>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</si>
  <si>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</si>
  <si>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</si>
  <si>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</si>
  <si>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</si>
  <si>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</si>
  <si>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</si>
  <si>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</si>
  <si>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</si>
  <si>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</si>
  <si>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</si>
  <si>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</si>
  <si>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</si>
  <si>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</si>
  <si>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</si>
  <si>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</si>
  <si>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</si>
  <si>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</si>
  <si>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</si>
  <si>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</si>
  <si>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</si>
  <si>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</si>
  <si>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</si>
  <si>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</si>
  <si>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</si>
  <si>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</si>
  <si>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</si>
  <si>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</si>
  <si>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</si>
  <si>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</si>
  <si>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</si>
  <si>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</si>
  <si>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</si>
  <si>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</si>
  <si>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</si>
  <si>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</si>
  <si>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</si>
  <si>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</si>
  <si>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</si>
  <si>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</si>
  <si>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</si>
  <si>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</si>
  <si>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</si>
  <si>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</si>
  <si>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</si>
  <si>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</si>
  <si>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</si>
  <si>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</si>
  <si>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</si>
  <si>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</si>
  <si>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</si>
  <si>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</si>
  <si>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</si>
  <si>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</si>
  <si>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</si>
  <si>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</si>
  <si>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</si>
  <si>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</si>
  <si>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</si>
  <si>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</si>
  <si>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</si>
  <si>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</si>
  <si>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</si>
  <si>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</si>
  <si>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</si>
  <si>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</si>
  <si>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</si>
  <si>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</si>
  <si>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</si>
  <si>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</si>
  <si>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</si>
  <si>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</si>
  <si>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</si>
  <si>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</si>
  <si>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</si>
  <si>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</si>
  <si>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</si>
  <si>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</si>
  <si>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</si>
  <si>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</si>
  <si>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</si>
  <si>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</si>
  <si>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</si>
  <si>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</si>
  <si>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</si>
  <si>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</si>
  <si>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</si>
  <si>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</si>
  <si>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</si>
  <si>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</si>
  <si>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</si>
  <si>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</si>
  <si>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</si>
  <si>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</si>
  <si>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</si>
  <si>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</si>
  <si>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</si>
  <si>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</si>
  <si>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</si>
  <si>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</si>
  <si>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</si>
  <si>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</si>
  <si>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</si>
  <si>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</si>
  <si>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</si>
  <si>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</si>
  <si>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</si>
  <si>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</si>
  <si>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</si>
  <si>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</si>
  <si>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</si>
  <si>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</si>
  <si>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</si>
  <si>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</si>
  <si>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</si>
  <si>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</si>
  <si>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</si>
  <si>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</si>
  <si>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</si>
  <si>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</si>
  <si>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</si>
  <si>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</si>
  <si>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</si>
  <si>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</si>
  <si>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</si>
  <si>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</si>
  <si>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</si>
  <si>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</si>
  <si>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</si>
  <si>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</si>
  <si>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</si>
  <si>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</si>
  <si>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</si>
  <si>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</si>
  <si>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</si>
  <si>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</si>
  <si>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</si>
  <si>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</si>
  <si>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</si>
  <si>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</si>
  <si>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</si>
  <si>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</si>
  <si>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</si>
  <si>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</si>
  <si>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</si>
  <si>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</si>
  <si>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</si>
  <si>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</si>
  <si>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</si>
  <si>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</si>
  <si>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</si>
  <si>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</si>
  <si>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</si>
  <si>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</si>
  <si>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</si>
  <si>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</si>
  <si>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</si>
  <si>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</si>
  <si>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</si>
  <si>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</si>
  <si>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</si>
  <si>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</si>
  <si>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</si>
  <si>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</si>
  <si>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</si>
  <si>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</si>
  <si>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</si>
  <si>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</si>
  <si>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</si>
  <si>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</si>
  <si>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</si>
  <si>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</si>
  <si>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</si>
  <si>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</si>
  <si>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</si>
  <si>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</si>
  <si>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</si>
  <si>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</si>
  <si>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</si>
  <si>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</si>
  <si>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</si>
  <si>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</si>
  <si>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</si>
  <si>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</si>
  <si>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</si>
  <si>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</si>
  <si>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</si>
  <si>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</si>
  <si>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</si>
  <si>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</si>
  <si>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</si>
  <si>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</si>
  <si>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</si>
  <si>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</si>
  <si>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</si>
  <si>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</si>
  <si>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</si>
  <si>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</si>
  <si>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</si>
  <si>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</si>
  <si>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</si>
  <si>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</si>
  <si>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</si>
  <si>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</si>
  <si>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</si>
  <si>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</si>
  <si>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</si>
  <si>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</si>
  <si>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</si>
  <si>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</si>
  <si>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</si>
  <si>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</si>
  <si>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</si>
  <si>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</si>
  <si>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</si>
  <si>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</si>
  <si>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</si>
  <si>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</si>
  <si>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</si>
  <si>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</si>
  <si>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</si>
  <si>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</si>
  <si>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</si>
  <si>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</si>
  <si>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</si>
  <si>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</si>
  <si>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</si>
  <si>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</si>
  <si>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</si>
  <si>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</si>
  <si>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</si>
  <si>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</si>
  <si>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</si>
  <si>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</si>
  <si>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</si>
  <si>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</si>
  <si>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</si>
  <si>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</si>
  <si>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</si>
  <si>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</si>
  <si>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</si>
  <si>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</si>
  <si>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</si>
  <si>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</si>
  <si>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</si>
  <si>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</si>
  <si>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</si>
  <si>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</si>
  <si>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</si>
  <si>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</si>
  <si>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</si>
  <si>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</si>
  <si>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</si>
  <si>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</si>
  <si>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</si>
  <si>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</si>
  <si>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</si>
  <si>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</si>
  <si>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</si>
  <si>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</si>
  <si>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</si>
  <si>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</si>
  <si>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</si>
  <si>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</si>
  <si>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</si>
  <si>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</si>
  <si>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</si>
  <si>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</si>
  <si>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</si>
  <si>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</si>
  <si>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</si>
  <si>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</si>
  <si>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</si>
  <si>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</si>
  <si>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</si>
  <si>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</si>
  <si>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</si>
  <si>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</si>
  <si>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</si>
  <si>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</si>
  <si>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</si>
  <si>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</si>
  <si>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</si>
  <si>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</si>
  <si>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</si>
  <si>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</si>
  <si>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</si>
  <si>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</si>
  <si>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</si>
  <si>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</si>
  <si>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</si>
  <si>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</si>
  <si>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</si>
  <si>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</si>
  <si>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</si>
  <si>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</si>
  <si>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</si>
  <si>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</si>
  <si>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</si>
  <si>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</si>
  <si>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</si>
  <si>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</si>
  <si>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</si>
  <si>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</si>
  <si>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</si>
  <si>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</si>
  <si>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</si>
  <si>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</si>
  <si>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</si>
  <si>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</si>
  <si>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</si>
  <si>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</si>
  <si>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</si>
  <si>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</si>
  <si>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</si>
  <si>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</si>
  <si>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</si>
  <si>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</si>
  <si>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</si>
  <si>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</si>
  <si>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</si>
  <si>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</si>
  <si>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</si>
  <si>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</si>
  <si>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</si>
  <si>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</si>
  <si>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</si>
  <si>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</si>
  <si>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</si>
  <si>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</si>
  <si>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</si>
  <si>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</si>
  <si>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</si>
  <si>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</si>
  <si>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</si>
  <si>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</si>
  <si>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</si>
  <si>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</si>
  <si>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</si>
  <si>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</si>
  <si>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</si>
  <si>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</si>
  <si>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</si>
  <si>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</si>
  <si>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</si>
  <si>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</si>
  <si>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</si>
  <si>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</si>
  <si>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</si>
  <si>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</si>
  <si>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</si>
  <si>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</si>
  <si>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</si>
  <si>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</si>
  <si>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</si>
  <si>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</si>
  <si>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</si>
  <si>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</si>
  <si>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</si>
  <si>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</si>
  <si>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</si>
  <si>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</si>
  <si>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</si>
  <si>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</si>
  <si>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</si>
  <si>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</si>
  <si>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</si>
  <si>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</si>
  <si>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</si>
  <si>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</si>
  <si>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</si>
  <si>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</si>
  <si>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</si>
  <si>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</si>
  <si>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</si>
  <si>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</si>
  <si>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</si>
  <si>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</si>
  <si>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</si>
  <si>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</si>
  <si>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</si>
  <si>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</si>
  <si>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</si>
  <si>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</si>
  <si>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</si>
  <si>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</si>
  <si>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</si>
  <si>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</si>
  <si>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</si>
  <si>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</si>
  <si>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</si>
  <si>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</si>
  <si>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</si>
  <si>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</si>
  <si>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</si>
  <si>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</si>
  <si>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</si>
  <si>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</si>
  <si>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</si>
  <si>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</si>
  <si>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</si>
  <si>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</si>
  <si>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</si>
  <si>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</si>
  <si>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</si>
  <si>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</si>
  <si>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</si>
  <si>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</si>
  <si>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</si>
  <si>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</si>
  <si>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</si>
  <si>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</si>
  <si>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</si>
  <si>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</si>
  <si>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</si>
  <si>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</si>
  <si>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</si>
  <si>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</si>
  <si>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</si>
  <si>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</si>
  <si>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</si>
  <si>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</si>
  <si>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</si>
  <si>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</si>
  <si>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</si>
  <si>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</si>
  <si>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</si>
  <si>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</si>
  <si>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</si>
  <si>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</si>
  <si>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</si>
  <si>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</si>
  <si>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</si>
  <si>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</si>
  <si>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</si>
  <si>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</si>
  <si>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</si>
  <si>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</si>
  <si>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</si>
  <si>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</si>
  <si>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</si>
  <si>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</si>
  <si>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</si>
  <si>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</si>
  <si>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</si>
  <si>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</si>
  <si>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</si>
  <si>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</si>
  <si>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</si>
  <si>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</si>
  <si>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</si>
  <si>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</si>
  <si>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</si>
  <si>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</si>
  <si>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</si>
  <si>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</si>
  <si>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</si>
  <si>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</si>
  <si>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</si>
  <si>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</si>
  <si>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</si>
  <si>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</si>
  <si>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</si>
  <si>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</si>
  <si>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</si>
  <si>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</si>
  <si>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</si>
  <si>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</si>
  <si>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</si>
  <si>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</si>
  <si>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</si>
  <si>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</si>
  <si>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</si>
  <si>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</si>
  <si>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</si>
  <si>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</si>
  <si>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</si>
  <si>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</si>
  <si>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</si>
  <si>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</si>
  <si>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</si>
  <si>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</si>
  <si>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</si>
  <si>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</si>
  <si>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</si>
  <si>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</si>
  <si>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</si>
  <si>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</si>
  <si>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</si>
  <si>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</si>
  <si>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</si>
  <si>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</si>
  <si>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</si>
  <si>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</si>
  <si>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</si>
  <si>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</si>
  <si>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</si>
  <si>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</si>
  <si>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</si>
  <si>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</si>
  <si>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</si>
  <si>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</si>
  <si>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</si>
  <si>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</si>
  <si>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</si>
  <si>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</si>
  <si>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</si>
  <si>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</si>
  <si>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</si>
  <si>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</si>
  <si>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</si>
  <si>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</si>
  <si>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</si>
  <si>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</si>
  <si>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</si>
  <si>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</si>
  <si>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</si>
  <si>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</si>
  <si>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</si>
  <si>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</si>
  <si>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</si>
  <si>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</si>
  <si>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</si>
  <si>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</si>
  <si>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</si>
  <si>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</si>
  <si>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</si>
  <si>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</si>
  <si>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</si>
  <si>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</si>
  <si>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</si>
  <si>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</si>
  <si>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</si>
  <si>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</si>
  <si>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</si>
  <si>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</si>
  <si>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</si>
  <si>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</si>
  <si>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</si>
  <si>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</si>
  <si>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</si>
  <si>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</si>
  <si>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</si>
  <si>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</si>
  <si>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</si>
  <si>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</si>
  <si>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</si>
  <si>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</si>
  <si>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</si>
  <si>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</si>
  <si>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</si>
  <si>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</si>
  <si>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</si>
  <si>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</si>
  <si>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</si>
  <si>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</si>
  <si>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</si>
  <si>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</si>
  <si>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</si>
  <si>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</si>
  <si>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</si>
  <si>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</si>
  <si>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</si>
  <si>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</si>
  <si>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</si>
  <si>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</si>
  <si>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</si>
  <si>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</si>
  <si>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</si>
  <si>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</si>
  <si>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</si>
  <si>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</si>
  <si>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</si>
  <si>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</si>
  <si>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</si>
  <si>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</si>
  <si>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</si>
  <si>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</si>
  <si>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</si>
  <si>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</si>
  <si>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</si>
  <si>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</si>
  <si>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</si>
  <si>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</si>
  <si>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</si>
  <si>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</si>
  <si>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</si>
  <si>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</si>
  <si>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</si>
  <si>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</si>
  <si>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</si>
  <si>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</si>
  <si>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</si>
  <si>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</si>
  <si>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</si>
  <si>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</si>
  <si>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</si>
  <si>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</si>
  <si>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</si>
  <si>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</si>
  <si>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</si>
  <si>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</si>
  <si>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</si>
  <si>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</si>
  <si>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</si>
  <si>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</si>
  <si>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</si>
  <si>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</si>
  <si>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</si>
  <si>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</si>
  <si>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</si>
  <si>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</si>
  <si>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</si>
  <si>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</si>
  <si>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</si>
  <si>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</si>
  <si>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</si>
  <si>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</si>
  <si>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</si>
  <si>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</si>
  <si>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</si>
  <si>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</si>
  <si>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</si>
  <si>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</si>
  <si>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</si>
  <si>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</si>
  <si>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</si>
  <si>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</si>
  <si>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</si>
  <si>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</si>
  <si>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</si>
  <si>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</si>
  <si>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</si>
  <si>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</si>
  <si>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</si>
  <si>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</si>
  <si>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</si>
  <si>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</si>
  <si>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</si>
  <si>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</si>
  <si>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</si>
  <si>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</si>
  <si>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</si>
  <si>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</si>
  <si>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</si>
  <si>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</si>
  <si>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</si>
  <si>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</si>
  <si>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</si>
  <si>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</si>
  <si>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</si>
  <si>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</si>
  <si>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</si>
  <si>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</si>
  <si>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</si>
  <si>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</si>
  <si>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</si>
  <si>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</si>
  <si>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</si>
  <si>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</si>
  <si>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</si>
  <si>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</si>
  <si>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</si>
  <si>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</si>
  <si>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</si>
  <si>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</si>
  <si>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</si>
  <si>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</si>
  <si>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</si>
  <si>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</si>
  <si>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</si>
  <si>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</si>
  <si>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</si>
  <si>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</si>
  <si>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</si>
  <si>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</si>
  <si>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</si>
  <si>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</si>
  <si>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</si>
  <si>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</si>
  <si>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</si>
  <si>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</si>
  <si>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</si>
  <si>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</si>
  <si>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</si>
  <si>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</si>
  <si>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</si>
  <si>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</si>
  <si>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</si>
  <si>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</si>
  <si>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</si>
  <si>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</si>
  <si>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</si>
  <si>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</si>
  <si>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</si>
  <si>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</si>
  <si>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</si>
  <si>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</si>
  <si>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</si>
  <si>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</si>
  <si>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</si>
  <si>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</si>
  <si>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</si>
  <si>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</si>
  <si>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</si>
  <si>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</si>
  <si>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</si>
  <si>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</si>
  <si>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</si>
  <si>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</si>
  <si>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</si>
  <si>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</si>
  <si>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</si>
  <si>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</si>
  <si>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</si>
  <si>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</si>
  <si>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</si>
  <si>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</si>
  <si>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</si>
  <si>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</si>
  <si>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</si>
  <si>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</si>
  <si>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</si>
  <si>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</si>
  <si>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</si>
  <si>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</si>
  <si>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</si>
  <si>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</si>
  <si>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</si>
  <si>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</si>
  <si>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</si>
  <si>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</si>
  <si>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</si>
  <si>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</si>
  <si>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</si>
  <si>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</si>
  <si>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</si>
  <si>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</si>
  <si>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</si>
  <si>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</si>
  <si>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</si>
  <si>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</si>
  <si>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</si>
  <si>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</si>
  <si>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</si>
  <si>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</si>
  <si>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</si>
  <si>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</si>
  <si>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</si>
  <si>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</si>
  <si>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</si>
  <si>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</si>
  <si>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</si>
  <si>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</si>
  <si>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</si>
  <si>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</si>
  <si>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</si>
  <si>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</si>
  <si>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</si>
  <si>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</si>
  <si>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</si>
  <si>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</si>
  <si>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</si>
  <si>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</si>
  <si>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</si>
  <si>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</si>
  <si>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</si>
  <si>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</si>
  <si>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</si>
  <si>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</si>
  <si>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</si>
  <si>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</si>
  <si>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</si>
  <si>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</si>
  <si>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</si>
  <si>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</si>
  <si>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</si>
  <si>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</si>
  <si>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</si>
  <si>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</si>
  <si>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</si>
  <si>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</si>
  <si>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</si>
  <si>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</si>
  <si>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</si>
  <si>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</si>
  <si>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</si>
  <si>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</si>
  <si>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</si>
  <si>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</si>
  <si>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</si>
  <si>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</si>
  <si>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</si>
  <si>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</si>
  <si>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</si>
  <si>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</si>
  <si>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</si>
  <si>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</si>
  <si>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</si>
  <si>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</si>
  <si>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</si>
  <si>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</si>
  <si>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</si>
  <si>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</si>
  <si>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</si>
  <si>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</si>
  <si>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</si>
  <si>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</si>
  <si>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</si>
  <si>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</si>
  <si>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</si>
  <si>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</si>
  <si>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</si>
  <si>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</si>
  <si>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</si>
  <si>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</si>
  <si>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</si>
  <si>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</si>
  <si>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</si>
  <si>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</si>
  <si>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</si>
  <si>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</si>
  <si>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</si>
  <si>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</si>
  <si>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</si>
  <si>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</si>
  <si>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</si>
  <si>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</si>
  <si>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</si>
  <si>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</si>
  <si>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</si>
  <si>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</si>
  <si>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</si>
  <si>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</si>
  <si>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</si>
  <si>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</si>
  <si>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</si>
  <si>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</si>
  <si>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</si>
  <si>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</si>
  <si>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</si>
  <si>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</si>
  <si>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</si>
  <si>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</si>
  <si>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</si>
  <si>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</si>
  <si>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</si>
  <si>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</si>
  <si>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</si>
  <si>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</si>
  <si>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</si>
  <si>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</si>
  <si>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</si>
  <si>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</si>
  <si>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</si>
  <si>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</si>
  <si>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</si>
  <si>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</si>
  <si>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</si>
  <si>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</si>
  <si>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</si>
  <si>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</si>
  <si>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</si>
  <si>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</si>
  <si>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</si>
  <si>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</si>
  <si>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</si>
  <si>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</si>
  <si>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</si>
  <si>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</si>
  <si>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</si>
  <si>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</si>
  <si>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</si>
  <si>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</si>
  <si>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</si>
  <si>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</si>
  <si>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</si>
  <si>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</si>
  <si>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</si>
  <si>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</si>
  <si>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</si>
  <si>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</si>
  <si>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</si>
  <si>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</si>
  <si>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</si>
  <si>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</si>
  <si>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</si>
  <si>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</si>
  <si>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</si>
  <si>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</si>
  <si>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</si>
  <si>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</si>
  <si>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</si>
  <si>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</si>
  <si>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</si>
  <si>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</si>
  <si>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</si>
  <si>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</si>
  <si>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</si>
  <si>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</si>
  <si>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</si>
  <si>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</si>
  <si>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</si>
  <si>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</si>
  <si>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</si>
  <si>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</si>
  <si>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</si>
  <si>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</si>
  <si>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</si>
  <si>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</si>
  <si>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</si>
  <si>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</si>
  <si>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</si>
  <si>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</si>
  <si>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</si>
  <si>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</si>
  <si>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</si>
  <si>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</si>
  <si>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</si>
  <si>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</si>
  <si>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</si>
  <si>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</si>
  <si>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</si>
  <si>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</si>
  <si>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</si>
  <si>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</si>
  <si>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</si>
  <si>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</si>
  <si>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</si>
  <si>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</si>
  <si>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</si>
  <si>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</si>
  <si>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</si>
  <si>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</si>
  <si>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</si>
  <si>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</si>
  <si>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</si>
  <si>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</si>
  <si>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</si>
  <si>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</si>
  <si>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</si>
  <si>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</si>
  <si>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</si>
  <si>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</si>
  <si>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</si>
  <si>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</si>
  <si>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</si>
  <si>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</si>
  <si>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</si>
  <si>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</si>
  <si>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</si>
  <si>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</si>
  <si>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</si>
  <si>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</si>
  <si>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</si>
  <si>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</si>
  <si>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</si>
  <si>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</si>
  <si>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</si>
  <si>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</si>
  <si>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</si>
  <si>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</si>
  <si>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</si>
  <si>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</si>
  <si>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</si>
  <si>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</si>
  <si>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</si>
  <si>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</si>
  <si>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</si>
  <si>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</si>
  <si>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</si>
  <si>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</si>
  <si>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</si>
  <si>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</si>
  <si>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</si>
  <si>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</si>
  <si>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</si>
  <si>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</si>
  <si>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</si>
  <si>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</si>
  <si>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</si>
  <si>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</si>
  <si>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</si>
  <si>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</si>
  <si>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</si>
  <si>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</si>
  <si>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</si>
  <si>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</si>
  <si>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</si>
  <si>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</si>
  <si>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</si>
  <si>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</si>
  <si>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</si>
  <si>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</si>
  <si>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</si>
  <si>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</si>
  <si>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</si>
  <si>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</si>
  <si>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</si>
  <si>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</si>
  <si>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</si>
  <si>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</si>
  <si>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</si>
  <si>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</si>
  <si>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</si>
  <si>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</si>
  <si>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</si>
  <si>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</si>
  <si>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</si>
  <si>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</si>
  <si>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</si>
  <si>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</si>
  <si>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</si>
  <si>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</si>
  <si>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</si>
  <si>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</si>
  <si>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</si>
  <si>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</si>
  <si>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</si>
  <si>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</si>
  <si>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</si>
  <si>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</si>
  <si>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</si>
  <si>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</si>
  <si>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</si>
  <si>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</si>
  <si>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</si>
  <si>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</si>
  <si>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</si>
  <si>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</si>
  <si>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</si>
  <si>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</si>
  <si>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</si>
  <si>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</si>
  <si>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</si>
  <si>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</si>
  <si>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</si>
  <si>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</si>
  <si>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</si>
  <si>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</si>
  <si>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</si>
  <si>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</si>
  <si>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</si>
  <si>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</si>
  <si>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</si>
  <si>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</si>
  <si>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</si>
  <si>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</si>
  <si>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</si>
  <si>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</si>
  <si>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</si>
  <si>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</si>
  <si>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</si>
  <si>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</si>
  <si>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</si>
  <si>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</si>
  <si>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</si>
  <si>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</si>
  <si>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</si>
  <si>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</si>
  <si>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</si>
  <si>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</si>
  <si>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</si>
  <si>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</si>
  <si>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</si>
  <si>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</si>
  <si>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</si>
  <si>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</si>
  <si>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</si>
  <si>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</si>
  <si>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</si>
  <si>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</si>
  <si>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</si>
  <si>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</si>
  <si>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</si>
  <si>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</si>
  <si>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</si>
  <si>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</si>
  <si>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</si>
  <si>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</si>
  <si>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</si>
  <si>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</si>
  <si>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</si>
  <si>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</si>
  <si>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</si>
  <si>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</si>
  <si>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</si>
  <si>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</si>
  <si>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</si>
  <si>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</si>
  <si>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</si>
  <si>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</si>
  <si>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</si>
  <si>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</si>
  <si>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</si>
  <si>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</si>
  <si>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</si>
  <si>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</si>
  <si>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</si>
  <si>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</si>
  <si>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</si>
  <si>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</si>
  <si>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</si>
  <si>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</si>
  <si>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</si>
  <si>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</si>
  <si>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</si>
  <si>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</si>
  <si>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</si>
  <si>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</si>
  <si>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</si>
  <si>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</si>
  <si>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</si>
  <si>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</si>
  <si>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</si>
  <si>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</si>
  <si>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</si>
  <si>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</si>
  <si>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</si>
  <si>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</si>
  <si>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</si>
  <si>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</si>
  <si>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</si>
  <si>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</si>
  <si>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</si>
  <si>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</si>
  <si>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</si>
  <si>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</si>
  <si>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</si>
  <si>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</si>
  <si>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</si>
  <si>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</si>
  <si>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</si>
  <si>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</si>
  <si>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</si>
  <si>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</si>
  <si>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</si>
  <si>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</si>
  <si>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</si>
  <si>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</si>
  <si>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</si>
  <si>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</si>
  <si>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</si>
  <si>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</si>
  <si>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</si>
  <si>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</si>
  <si>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</si>
  <si>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</si>
  <si>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</si>
  <si>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</si>
  <si>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</si>
  <si>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</si>
  <si>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</si>
  <si>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</si>
  <si>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</si>
  <si>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</si>
  <si>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</si>
  <si>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</si>
  <si>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</si>
  <si>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</si>
  <si>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</si>
  <si>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</si>
  <si>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</si>
  <si>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</si>
  <si>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</si>
  <si>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</si>
  <si>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</si>
  <si>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</si>
  <si>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</si>
  <si>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</si>
  <si>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</si>
  <si>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</si>
  <si>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</si>
  <si>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</si>
  <si>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</si>
  <si>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</si>
  <si>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</si>
  <si>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</si>
  <si>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</si>
  <si>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</si>
  <si>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</si>
  <si>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</si>
  <si>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</si>
  <si>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</si>
  <si>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</si>
  <si>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</si>
  <si>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</si>
  <si>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</si>
  <si>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</si>
  <si>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</si>
  <si>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</si>
  <si>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</si>
  <si>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</si>
  <si>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</si>
  <si>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</si>
  <si>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</si>
  <si>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</si>
  <si>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</si>
  <si>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</si>
  <si>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</si>
  <si>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</si>
  <si>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</si>
  <si>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</si>
  <si>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</si>
  <si>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</si>
  <si>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</si>
  <si>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</si>
  <si>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</si>
  <si>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</si>
  <si>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</si>
  <si>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</si>
  <si>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</si>
  <si>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</si>
  <si>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</si>
  <si>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</si>
  <si>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</si>
  <si>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</si>
  <si>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</si>
  <si>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</si>
  <si>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</si>
  <si>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</si>
  <si>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</si>
  <si>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</si>
  <si>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</si>
  <si>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</si>
  <si>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</si>
  <si>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</si>
  <si>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</si>
  <si>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</si>
  <si>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</si>
  <si>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</si>
  <si>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</si>
  <si>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</si>
  <si>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</si>
  <si>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</si>
  <si>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</si>
  <si>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</si>
  <si>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</si>
  <si>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</si>
  <si>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</si>
  <si>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</si>
  <si>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</si>
  <si>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</si>
  <si>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</si>
  <si>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</si>
  <si>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</si>
  <si>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</si>
  <si>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</si>
  <si>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</si>
  <si>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</si>
  <si>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</si>
  <si>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</si>
  <si>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</si>
  <si>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</si>
  <si>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</si>
  <si>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</si>
  <si>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</si>
  <si>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</si>
  <si>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</si>
  <si>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</si>
  <si>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</si>
  <si>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</si>
  <si>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</si>
  <si>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</si>
  <si>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</si>
  <si>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</si>
  <si>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</si>
  <si>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</si>
  <si>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</si>
  <si>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</si>
  <si>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</si>
  <si>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</si>
  <si>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</si>
  <si>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</si>
  <si>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</si>
  <si>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</si>
  <si>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</si>
  <si>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</si>
  <si>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</si>
  <si>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</si>
  <si>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</si>
  <si>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</si>
  <si>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</si>
  <si>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</si>
  <si>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</si>
  <si>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</si>
  <si>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</si>
  <si>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</si>
  <si>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</si>
  <si>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</si>
  <si>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</si>
  <si>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</si>
  <si>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</si>
  <si>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</si>
  <si>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</si>
  <si>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</si>
  <si>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</si>
  <si>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</si>
  <si>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</si>
  <si>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</si>
  <si>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</si>
  <si>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</si>
  <si>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</si>
  <si>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</si>
  <si>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</si>
  <si>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</si>
  <si>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</si>
  <si>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</si>
  <si>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</si>
  <si>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</si>
  <si>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</si>
  <si>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</si>
  <si>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</si>
  <si>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</si>
  <si>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</si>
  <si>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</si>
  <si>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</si>
  <si>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</si>
  <si>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</si>
  <si>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</si>
  <si>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</si>
  <si>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</si>
  <si>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</si>
  <si>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</si>
  <si>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</si>
  <si>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</si>
  <si>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</si>
  <si>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</si>
  <si>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</si>
  <si>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</si>
  <si>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</si>
  <si>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</si>
  <si>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</si>
  <si>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</si>
  <si>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</si>
  <si>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</si>
  <si>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</si>
  <si>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</si>
  <si>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</si>
  <si>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</si>
  <si>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</si>
  <si>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</si>
  <si>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</si>
  <si>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</si>
  <si>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</si>
  <si>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</si>
  <si>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</si>
  <si>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</si>
  <si>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</si>
  <si>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</si>
  <si>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</si>
  <si>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</si>
  <si>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</si>
  <si>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</si>
  <si>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</si>
  <si>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</si>
  <si>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</si>
  <si>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</si>
  <si>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</si>
  <si>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</si>
  <si>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</si>
  <si>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</si>
  <si>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</si>
  <si>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</si>
  <si>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</si>
  <si>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</si>
  <si>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</si>
  <si>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</si>
  <si>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</si>
  <si>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</si>
  <si>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</si>
  <si>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</si>
  <si>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</si>
  <si>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</si>
  <si>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</si>
  <si>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</si>
  <si>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</si>
  <si>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</si>
  <si>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</si>
  <si>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</si>
  <si>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</si>
  <si>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</si>
  <si>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</si>
  <si>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</si>
  <si>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</si>
  <si>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</si>
  <si>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</si>
  <si>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</si>
  <si>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</si>
  <si>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</si>
  <si>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</si>
  <si>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</si>
  <si>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</si>
  <si>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</si>
  <si>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</si>
  <si>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</si>
  <si>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</si>
  <si>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</si>
  <si>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</si>
  <si>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</si>
  <si>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</si>
  <si>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</si>
  <si>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</si>
  <si>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</si>
  <si>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</si>
  <si>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</si>
  <si>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</si>
  <si>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</si>
  <si>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</si>
  <si>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</si>
  <si>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</si>
  <si>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</si>
  <si>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</si>
  <si>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</si>
  <si>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</si>
  <si>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</si>
  <si>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</si>
  <si>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</si>
  <si>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</si>
  <si>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</si>
  <si>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</si>
  <si>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</si>
  <si>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</si>
  <si>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</si>
  <si>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</si>
  <si>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</si>
  <si>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</si>
  <si>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</si>
  <si>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</si>
  <si>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</si>
  <si>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</si>
  <si>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</si>
  <si>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</si>
  <si>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</si>
  <si>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</si>
  <si>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</si>
  <si>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</si>
  <si>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</si>
  <si>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</si>
  <si>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</si>
  <si>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</si>
  <si>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</si>
  <si>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</si>
  <si>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</si>
  <si>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</si>
  <si>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</si>
  <si>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</si>
  <si>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</si>
  <si>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</si>
  <si>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</si>
  <si>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</si>
  <si>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</si>
  <si>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</si>
  <si>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</si>
  <si>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</si>
  <si>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</si>
  <si>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</si>
  <si>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</si>
  <si>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</si>
  <si>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</si>
  <si>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</si>
  <si>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</si>
  <si>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</si>
  <si>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</si>
  <si>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</si>
  <si>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</si>
  <si>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</si>
  <si>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</si>
  <si>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</si>
  <si>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</si>
  <si>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</si>
  <si>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</si>
  <si>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</si>
  <si>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</si>
  <si>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</si>
  <si>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</si>
  <si>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</si>
  <si>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</si>
  <si>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</si>
  <si>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</si>
  <si>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</si>
  <si>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</si>
  <si>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</si>
  <si>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</si>
  <si>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</si>
  <si>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</si>
  <si>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</si>
  <si>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</si>
  <si>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</si>
  <si>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</si>
  <si>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</si>
  <si>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</si>
  <si>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</si>
  <si>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</si>
  <si>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</si>
  <si>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</si>
  <si>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</si>
  <si>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</si>
  <si>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</si>
  <si>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</si>
  <si>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</si>
  <si>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</si>
  <si>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</si>
  <si>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</si>
  <si>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</si>
  <si>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</si>
  <si>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</si>
  <si>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</si>
  <si>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</si>
  <si>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</si>
  <si>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</si>
  <si>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</si>
  <si>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</si>
  <si>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</si>
  <si>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</si>
  <si>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</si>
  <si>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</si>
  <si>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</si>
  <si>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</si>
  <si>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</si>
  <si>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</si>
  <si>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</si>
  <si>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</si>
  <si>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</si>
  <si>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</si>
  <si>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</si>
  <si>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</si>
  <si>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</si>
  <si>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</si>
  <si>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</si>
  <si>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</si>
  <si>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</si>
  <si>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</si>
  <si>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</si>
  <si>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</si>
  <si>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</si>
  <si>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</si>
  <si>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</si>
  <si>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</si>
  <si>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</si>
  <si>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</si>
  <si>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</si>
  <si>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</si>
  <si>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</si>
  <si>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</si>
  <si>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</si>
  <si>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</si>
  <si>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</si>
  <si>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</si>
  <si>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</si>
  <si>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</si>
  <si>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</si>
  <si>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</si>
  <si>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</si>
  <si>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</si>
  <si>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</si>
  <si>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</si>
  <si>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</si>
  <si>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</si>
  <si>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</si>
  <si>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</si>
  <si>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</si>
  <si>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</si>
  <si>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</si>
  <si>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</si>
  <si>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</si>
  <si>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</si>
  <si>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</si>
  <si>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</si>
  <si>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</si>
  <si>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</si>
  <si>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</si>
  <si>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</si>
  <si>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</si>
  <si>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</si>
  <si>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</si>
  <si>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</si>
  <si>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</si>
  <si>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</si>
  <si>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</si>
  <si>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</si>
  <si>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</si>
  <si>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</si>
  <si>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</si>
  <si>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</si>
  <si>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</si>
  <si>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</si>
  <si>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</si>
  <si>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</si>
  <si>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</si>
  <si>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</si>
  <si>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</si>
  <si>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</si>
  <si>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</si>
  <si>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</si>
  <si>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</si>
  <si>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</si>
  <si>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</si>
  <si>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</si>
  <si>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</si>
  <si>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</si>
  <si>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</si>
  <si>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</si>
  <si>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</si>
  <si>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</si>
  <si>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</si>
  <si>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</si>
  <si>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</si>
  <si>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</si>
  <si>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</si>
  <si>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</si>
  <si>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</si>
  <si>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</si>
  <si>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</si>
  <si>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</si>
  <si>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</si>
  <si>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</si>
  <si>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</si>
  <si>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</si>
  <si>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</si>
  <si>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</si>
  <si>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</si>
  <si>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</si>
  <si>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</si>
  <si>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</si>
  <si>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</si>
  <si>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</si>
  <si>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</si>
  <si>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</si>
  <si>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</si>
  <si>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</si>
  <si>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</si>
  <si>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</si>
  <si>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</si>
  <si>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</si>
  <si>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</si>
  <si>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</si>
  <si>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</si>
  <si>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</si>
  <si>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</si>
  <si>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</si>
  <si>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</si>
  <si>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</si>
  <si>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</si>
  <si>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</si>
  <si>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</si>
  <si>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</si>
  <si>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</si>
  <si>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</si>
  <si>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</si>
  <si>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</si>
  <si>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</si>
  <si>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</si>
  <si>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</si>
  <si>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</si>
  <si>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</si>
  <si>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</si>
  <si>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</si>
  <si>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</si>
  <si>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</si>
  <si>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</si>
  <si>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</si>
  <si>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</si>
  <si>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</si>
  <si>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</si>
  <si>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</si>
  <si>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</si>
  <si>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</si>
  <si>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</si>
  <si>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</si>
  <si>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</si>
  <si>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</si>
  <si>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</si>
  <si>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</si>
  <si>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</si>
  <si>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</si>
  <si>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</si>
  <si>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</si>
  <si>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</si>
  <si>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</si>
  <si>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</si>
  <si>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</si>
  <si>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</si>
  <si>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</si>
  <si>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</si>
  <si>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</si>
  <si>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</si>
  <si>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</si>
  <si>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</si>
  <si>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</si>
  <si>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</si>
  <si>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</si>
  <si>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</si>
  <si>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</si>
  <si>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</si>
  <si>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</si>
  <si>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</si>
  <si>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</si>
  <si>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</si>
  <si>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</si>
  <si>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</si>
  <si>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</si>
  <si>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</si>
  <si>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</si>
  <si>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</si>
  <si>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</si>
  <si>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</si>
  <si>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</si>
  <si>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</si>
  <si>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</si>
  <si>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</si>
  <si>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</si>
  <si>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</si>
  <si>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</si>
  <si>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</si>
  <si>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</si>
  <si>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</si>
  <si>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</si>
  <si>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</si>
  <si>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</si>
  <si>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</si>
  <si>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</si>
  <si>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</si>
  <si>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</si>
  <si>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</si>
  <si>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</si>
  <si>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</si>
  <si>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</si>
  <si>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</si>
  <si>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</si>
  <si>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</si>
  <si>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</si>
  <si>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</si>
  <si>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</si>
  <si>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</si>
  <si>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</si>
  <si>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</si>
  <si>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</si>
  <si>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</si>
  <si>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</si>
  <si>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</si>
  <si>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</si>
  <si>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</si>
  <si>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</si>
  <si>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</si>
  <si>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</si>
  <si>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</si>
  <si>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</si>
  <si>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</si>
  <si>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</si>
  <si>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</si>
  <si>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</si>
  <si>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</si>
  <si>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</si>
  <si>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</si>
  <si>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</si>
  <si>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</si>
  <si>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</si>
  <si>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</si>
  <si>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</si>
  <si>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</si>
  <si>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</si>
  <si>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</si>
  <si>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</si>
  <si>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</si>
  <si>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</si>
  <si>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</si>
  <si>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</si>
  <si>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</si>
  <si>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</si>
  <si>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</si>
  <si>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</si>
  <si>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</si>
  <si>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</si>
  <si>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</si>
  <si>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</si>
  <si>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</si>
  <si>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</si>
  <si>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</si>
  <si>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</si>
  <si>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</si>
  <si>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</si>
  <si>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</si>
  <si>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</si>
  <si>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</si>
  <si>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</si>
  <si>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</si>
  <si>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</si>
  <si>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</si>
  <si>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</si>
  <si>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</si>
  <si>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</si>
  <si>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</si>
  <si>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</si>
  <si>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</si>
  <si>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</si>
  <si>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</si>
  <si>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</si>
  <si>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</si>
  <si>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</si>
  <si>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</si>
  <si>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</si>
  <si>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</si>
  <si>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</si>
  <si>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</si>
  <si>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</si>
  <si>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</si>
  <si>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</si>
  <si>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</si>
  <si>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</si>
  <si>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</si>
  <si>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</si>
  <si>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</si>
  <si>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</si>
  <si>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</si>
  <si>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</si>
  <si>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</si>
  <si>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</si>
  <si>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</si>
  <si>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</si>
  <si>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</si>
  <si>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</si>
  <si>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</si>
  <si>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</si>
  <si>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</si>
  <si>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</si>
  <si>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</si>
  <si>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</si>
  <si>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</si>
  <si>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</si>
  <si>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</si>
  <si>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</si>
  <si>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</si>
  <si>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</si>
  <si>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</si>
  <si>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</si>
  <si>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</si>
  <si>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</si>
  <si>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</si>
  <si>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</si>
  <si>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</si>
  <si>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</si>
  <si>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</si>
  <si>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</si>
  <si>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</si>
  <si>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</si>
  <si>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</si>
  <si>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</si>
  <si>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</si>
  <si>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</si>
  <si>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</si>
  <si>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</si>
  <si>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</si>
  <si>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</si>
  <si>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</si>
  <si>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</si>
  <si>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</si>
  <si>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</si>
  <si>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</si>
  <si>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</si>
  <si>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</si>
  <si>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</si>
  <si>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</si>
  <si>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</si>
  <si>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</si>
  <si>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</si>
  <si>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</si>
  <si>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</si>
  <si>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</si>
  <si>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</si>
  <si>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</si>
  <si>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</si>
  <si>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</si>
  <si>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</si>
  <si>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</si>
  <si>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</si>
  <si>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</si>
  <si>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</si>
  <si>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</si>
  <si>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</si>
  <si>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</si>
  <si>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</si>
  <si>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</si>
  <si>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</si>
  <si>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</si>
  <si>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</si>
  <si>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</si>
  <si>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</si>
  <si>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</si>
  <si>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</si>
  <si>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</si>
  <si>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</si>
  <si>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</si>
  <si>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</si>
  <si>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</si>
  <si>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</si>
  <si>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</si>
  <si>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</si>
  <si>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</si>
  <si>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</si>
  <si>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</si>
  <si>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</si>
  <si>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</si>
  <si>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</si>
  <si>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</si>
  <si>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</si>
  <si>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</si>
  <si>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</si>
  <si>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</si>
  <si>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</si>
  <si>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</si>
  <si>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</si>
  <si>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</si>
  <si>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</si>
  <si>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</si>
  <si>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</si>
  <si>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</si>
  <si>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</si>
  <si>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</si>
  <si>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</si>
  <si>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</si>
  <si>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</si>
  <si>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</si>
  <si>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</si>
  <si>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</si>
  <si>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</si>
  <si>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</si>
  <si>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</si>
  <si>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</si>
  <si>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</si>
  <si>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</si>
  <si>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</si>
  <si>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</si>
  <si>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</si>
  <si>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</si>
  <si>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</si>
  <si>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</si>
  <si>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</si>
  <si>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</si>
  <si>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</si>
  <si>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</si>
  <si>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</si>
  <si>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</si>
  <si>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</si>
  <si>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</si>
  <si>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</si>
  <si>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</si>
  <si>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</si>
  <si>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</si>
  <si>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</si>
  <si>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</si>
  <si>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</si>
  <si>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</si>
  <si>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</si>
  <si>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</si>
  <si>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</si>
  <si>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</si>
  <si>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</si>
  <si>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</si>
  <si>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</si>
  <si>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</si>
  <si>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</si>
  <si>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</si>
  <si>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</si>
  <si>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</si>
  <si>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</si>
  <si>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</si>
  <si>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</si>
  <si>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</si>
  <si>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</si>
  <si>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</si>
  <si>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</si>
  <si>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</si>
  <si>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</si>
  <si>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</si>
  <si>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</si>
  <si>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</si>
  <si>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</si>
  <si>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</si>
  <si>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</si>
  <si>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</si>
  <si>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</si>
  <si>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</si>
  <si>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</si>
  <si>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</si>
  <si>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</si>
  <si>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</si>
  <si>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</si>
  <si>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</si>
  <si>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</si>
  <si>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</si>
  <si>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</si>
  <si>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</si>
  <si>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</si>
  <si>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</si>
  <si>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</si>
  <si>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</si>
  <si>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</si>
  <si>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</si>
  <si>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</si>
  <si>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</si>
  <si>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</si>
  <si>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</si>
  <si>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</si>
  <si>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</si>
  <si>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</si>
  <si>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</si>
  <si>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</si>
  <si>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</si>
  <si>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</si>
  <si>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</si>
  <si>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</si>
  <si>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</si>
  <si>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</si>
  <si>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</si>
  <si>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</si>
  <si>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</si>
  <si>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</si>
  <si>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</si>
  <si>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</si>
  <si>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</si>
  <si>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</si>
  <si>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</si>
  <si>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</si>
  <si>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</si>
  <si>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</si>
  <si>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</si>
  <si>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</si>
  <si>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</si>
  <si>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</si>
  <si>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</si>
  <si>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</si>
  <si>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</si>
  <si>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</si>
  <si>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</si>
  <si>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</si>
  <si>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</si>
  <si>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</si>
  <si>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</si>
  <si>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</si>
  <si>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</si>
  <si>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</si>
  <si>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</si>
  <si>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</si>
  <si>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</si>
  <si>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</si>
  <si>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</si>
  <si>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</si>
  <si>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</si>
  <si>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</si>
  <si>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</si>
  <si>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</si>
  <si>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</si>
  <si>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</si>
  <si>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</si>
  <si>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</si>
  <si>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</si>
  <si>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</si>
  <si>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</si>
  <si>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</si>
  <si>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</si>
  <si>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</si>
  <si>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</si>
  <si>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</si>
  <si>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</si>
  <si>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</si>
  <si>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</si>
  <si>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</si>
  <si>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</si>
  <si>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</si>
  <si>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</si>
  <si>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</si>
  <si>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</si>
  <si>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</si>
  <si>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</si>
  <si>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</si>
  <si>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</si>
  <si>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</si>
  <si>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</si>
  <si>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</si>
  <si>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</si>
  <si>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</si>
  <si>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</si>
  <si>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</si>
  <si>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</si>
  <si>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</si>
  <si>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</si>
  <si>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</si>
  <si>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</si>
  <si>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</si>
  <si>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</si>
  <si>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</si>
  <si>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</si>
  <si>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</si>
  <si>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</si>
  <si>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</si>
  <si>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</si>
  <si>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</si>
  <si>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</si>
  <si>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</si>
  <si>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</si>
  <si>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</si>
  <si>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</si>
  <si>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</si>
  <si>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</si>
  <si>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</si>
  <si>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</si>
  <si>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</si>
  <si>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</si>
  <si>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</si>
  <si>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</si>
  <si>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</si>
  <si>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</si>
  <si>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</si>
  <si>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</si>
  <si>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</si>
  <si>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</si>
  <si>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</si>
  <si>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</si>
  <si>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</si>
  <si>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</si>
  <si>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</si>
  <si>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</si>
  <si>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</si>
  <si>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</si>
  <si>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</si>
  <si>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</si>
  <si>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</si>
  <si>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</si>
  <si>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</si>
  <si>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</si>
  <si>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</si>
  <si>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</si>
  <si>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</si>
  <si>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</si>
  <si>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</si>
  <si>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</si>
  <si>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</si>
  <si>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</si>
  <si>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</si>
  <si>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</si>
  <si>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</si>
  <si>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</si>
  <si>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</si>
  <si>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</si>
  <si>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</si>
  <si>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</si>
  <si>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</si>
  <si>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</si>
  <si>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</si>
  <si>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</si>
  <si>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</si>
  <si>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</si>
  <si>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</si>
  <si>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</si>
  <si>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</si>
  <si>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</si>
  <si>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</si>
  <si>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</si>
  <si>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</si>
  <si>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</si>
  <si>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</si>
  <si>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</si>
  <si>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</si>
  <si>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</si>
  <si>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</si>
  <si>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</si>
  <si>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</si>
  <si>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</si>
  <si>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</si>
  <si>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</si>
  <si>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</si>
  <si>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</si>
  <si>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</si>
  <si>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</si>
  <si>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</si>
  <si>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</si>
  <si>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</si>
  <si>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</si>
  <si>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</si>
  <si>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</si>
  <si>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</si>
  <si>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</si>
  <si>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</si>
  <si>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</si>
  <si>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</si>
  <si>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</si>
  <si>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</si>
  <si>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</si>
  <si>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</si>
  <si>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</si>
  <si>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</si>
  <si>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</si>
  <si>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</si>
  <si>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</si>
  <si>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</si>
  <si>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</si>
  <si>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</si>
  <si>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</si>
  <si>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</si>
  <si>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</si>
  <si>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</si>
  <si>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</si>
  <si>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</si>
  <si>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</si>
  <si>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</si>
  <si>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</si>
  <si>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</si>
  <si>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</si>
  <si>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</si>
  <si>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</si>
  <si>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</si>
  <si>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</si>
  <si>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</si>
  <si>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</si>
  <si>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</si>
  <si>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</si>
  <si>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</si>
  <si>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</si>
  <si>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</si>
  <si>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</si>
  <si>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</si>
  <si>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</si>
  <si>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</si>
  <si>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</si>
  <si>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</si>
  <si>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</si>
  <si>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</si>
  <si>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</si>
  <si>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</si>
  <si>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</si>
  <si>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</si>
  <si>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</si>
  <si>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</si>
  <si>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</si>
  <si>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</si>
  <si>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</si>
  <si>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</si>
  <si>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</si>
  <si>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</si>
  <si>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</si>
  <si>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</si>
  <si>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</si>
  <si>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</si>
  <si>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</si>
  <si>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</si>
  <si>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</si>
  <si>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</si>
  <si>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</si>
  <si>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</si>
  <si>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</si>
  <si>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</si>
  <si>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</si>
  <si>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</si>
  <si>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</si>
  <si>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</si>
  <si>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</si>
  <si>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</si>
  <si>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</si>
  <si>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</si>
  <si>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</si>
  <si>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</si>
  <si>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</si>
  <si>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</si>
  <si>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</si>
  <si>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</si>
  <si>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</si>
  <si>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</si>
  <si>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</si>
  <si>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</si>
  <si>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</si>
  <si>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</si>
  <si>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</si>
  <si>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</si>
  <si>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</si>
  <si>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</si>
  <si>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</si>
  <si>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</si>
  <si>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</si>
  <si>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</si>
  <si>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</si>
  <si>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</si>
  <si>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</si>
  <si>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</si>
  <si>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</si>
  <si>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</si>
  <si>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</si>
  <si>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</si>
  <si>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</si>
  <si>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</si>
  <si>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</si>
  <si>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</si>
  <si>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</si>
  <si>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</si>
  <si>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</si>
  <si>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</si>
  <si>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</si>
  <si>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</si>
  <si>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</si>
  <si>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</si>
  <si>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</si>
  <si>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</si>
  <si>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</si>
  <si>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</si>
  <si>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</si>
  <si>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</si>
  <si>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</si>
  <si>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</si>
  <si>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</si>
  <si>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</si>
  <si>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</si>
  <si>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</si>
  <si>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</si>
  <si>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</si>
  <si>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</si>
  <si>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</si>
  <si>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</si>
  <si>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</si>
  <si>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</si>
  <si>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</si>
  <si>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</si>
  <si>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</si>
  <si>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</si>
  <si>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</si>
  <si>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</si>
  <si>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</si>
  <si>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</si>
  <si>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</si>
  <si>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</si>
  <si>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</si>
  <si>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</si>
  <si>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</si>
  <si>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</si>
  <si>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</si>
  <si>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</si>
  <si>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</si>
  <si>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</si>
  <si>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</si>
  <si>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</si>
  <si>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</si>
  <si>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</si>
  <si>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</si>
  <si>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</si>
  <si>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</si>
  <si>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</si>
  <si>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</si>
  <si>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</si>
  <si>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</si>
  <si>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</si>
  <si>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</si>
  <si>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</si>
  <si>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</si>
  <si>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</si>
  <si>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</si>
  <si>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</si>
  <si>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</si>
  <si>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</si>
  <si>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</si>
  <si>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</si>
  <si>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</si>
  <si>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</si>
  <si>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</si>
  <si>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</si>
  <si>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</si>
  <si>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</si>
  <si>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</si>
  <si>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</si>
  <si>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</si>
  <si>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</si>
  <si>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</si>
  <si>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</si>
  <si>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</si>
  <si>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</si>
  <si>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</si>
  <si>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</si>
  <si>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</si>
  <si>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</si>
  <si>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</si>
  <si>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</si>
  <si>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</si>
  <si>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</si>
  <si>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</si>
  <si>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</si>
  <si>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</si>
  <si>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</si>
  <si>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</si>
  <si>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</si>
  <si>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</si>
  <si>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</si>
  <si>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</si>
  <si>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</si>
  <si>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</si>
  <si>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</si>
  <si>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</si>
  <si>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</si>
  <si>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</si>
  <si>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</si>
  <si>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</si>
  <si>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</si>
  <si>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</si>
  <si>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</si>
  <si>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</si>
  <si>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</si>
  <si>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</si>
  <si>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</si>
  <si>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</si>
  <si>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</si>
  <si>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</si>
  <si>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</si>
  <si>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</si>
  <si>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</si>
  <si>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</si>
  <si>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</si>
  <si>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</si>
  <si>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</si>
  <si>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</si>
  <si>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</si>
  <si>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</si>
  <si>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</si>
  <si>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</si>
  <si>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</si>
  <si>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</si>
  <si>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</si>
  <si>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</si>
  <si>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</si>
  <si>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</si>
  <si>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</si>
  <si>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</si>
  <si>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</si>
  <si>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</si>
  <si>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</si>
  <si>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</si>
  <si>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</si>
  <si>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</si>
  <si>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</si>
  <si>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</si>
  <si>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</si>
  <si>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</si>
  <si>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</si>
  <si>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</si>
  <si>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</si>
  <si>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</si>
  <si>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</si>
  <si>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</si>
  <si>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</si>
  <si>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</si>
  <si>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</si>
  <si>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</si>
  <si>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</si>
  <si>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</si>
  <si>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</si>
  <si>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</si>
  <si>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</si>
  <si>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</si>
  <si>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</si>
  <si>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</si>
  <si>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</si>
  <si>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</si>
  <si>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</si>
  <si>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</si>
  <si>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</si>
  <si>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</si>
  <si>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</si>
  <si>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</si>
  <si>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</si>
  <si>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</si>
  <si>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</si>
  <si>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</si>
  <si>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</si>
  <si>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</si>
  <si>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</si>
  <si>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</si>
  <si>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</si>
  <si>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</si>
  <si>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</si>
  <si>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</si>
  <si>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</si>
  <si>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</si>
  <si>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</si>
  <si>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</si>
  <si>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</si>
  <si>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</si>
  <si>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</si>
  <si>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</si>
  <si>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</si>
  <si>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</si>
  <si>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</si>
  <si>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</si>
  <si>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</si>
  <si>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</si>
  <si>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</si>
  <si>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</si>
  <si>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</si>
  <si>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</si>
  <si>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</si>
  <si>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</si>
  <si>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</si>
  <si>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</si>
  <si>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</si>
  <si>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</si>
  <si>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</si>
  <si>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</si>
  <si>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</si>
  <si>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</si>
  <si>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</si>
  <si>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</si>
  <si>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</si>
  <si>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</si>
  <si>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</si>
  <si>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</si>
  <si>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</si>
  <si>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</si>
  <si>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</si>
  <si>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</si>
  <si>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</si>
  <si>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</si>
  <si>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</si>
  <si>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</si>
  <si>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</si>
  <si>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</si>
  <si>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</si>
  <si>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</si>
  <si>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</si>
  <si>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</si>
  <si>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</si>
  <si>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</si>
  <si>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</si>
  <si>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</si>
  <si>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</si>
  <si>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</si>
  <si>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</si>
  <si>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</si>
  <si>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</si>
  <si>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</si>
  <si>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</si>
  <si>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</si>
  <si>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</si>
  <si>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</si>
  <si>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</si>
  <si>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</si>
  <si>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</si>
  <si>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</si>
  <si>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</si>
  <si>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</si>
  <si>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</si>
  <si>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</si>
  <si>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</si>
  <si>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</si>
  <si>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</si>
  <si>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</si>
  <si>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</si>
  <si>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</si>
  <si>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</si>
  <si>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</si>
  <si>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</si>
  <si>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</si>
  <si>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</si>
  <si>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</si>
  <si>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</si>
  <si>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</si>
  <si>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</si>
  <si>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</si>
  <si>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</si>
  <si>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</si>
  <si>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</si>
  <si>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</si>
  <si>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</si>
  <si>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</si>
  <si>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</si>
  <si>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</si>
  <si>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</si>
  <si>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</si>
  <si>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</si>
  <si>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</si>
  <si>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</si>
  <si>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</si>
  <si>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</si>
  <si>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</si>
  <si>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</si>
  <si>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</si>
  <si>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</si>
  <si>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</si>
  <si>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</si>
  <si>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</si>
  <si>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</si>
  <si>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</si>
  <si>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</si>
  <si>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</si>
  <si>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</si>
  <si>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</si>
  <si>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</si>
  <si>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</si>
  <si>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</si>
  <si>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</si>
  <si>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</si>
  <si>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</si>
  <si>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</si>
  <si>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</si>
  <si>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</si>
  <si>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</si>
  <si>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</si>
  <si>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</si>
  <si>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</si>
  <si>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</si>
  <si>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</si>
  <si>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</si>
  <si>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</si>
  <si>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</si>
  <si>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</si>
  <si>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</si>
  <si>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</si>
  <si>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</si>
  <si>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</si>
  <si>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</si>
  <si>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</si>
  <si>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</si>
  <si>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</si>
  <si>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</si>
  <si>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</si>
  <si>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</si>
  <si>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</si>
  <si>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</si>
  <si>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</si>
  <si>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</si>
  <si>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</si>
  <si>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</si>
  <si>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</si>
  <si>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</si>
  <si>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</si>
  <si>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</si>
  <si>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</si>
  <si>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</si>
  <si>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</si>
  <si>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</si>
  <si>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</si>
  <si>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</si>
  <si>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</si>
  <si>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</si>
  <si>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</si>
  <si>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</si>
  <si>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</si>
  <si>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</si>
  <si>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</si>
  <si>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</si>
  <si>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</si>
  <si>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</si>
  <si>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</si>
  <si>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</si>
  <si>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</si>
  <si>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</si>
  <si>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</si>
  <si>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</si>
  <si>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</si>
  <si>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</si>
  <si>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</si>
  <si>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</si>
  <si>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</si>
  <si>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</si>
  <si>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</si>
  <si>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</si>
  <si>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</si>
  <si>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</si>
  <si>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</si>
  <si>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</si>
  <si>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</si>
  <si>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</si>
  <si>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</si>
  <si>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</si>
  <si>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</si>
  <si>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</si>
  <si>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</si>
  <si>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</si>
  <si>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</si>
  <si>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</si>
  <si>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</si>
  <si>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</si>
  <si>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</si>
  <si>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</si>
  <si>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</si>
  <si>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</si>
  <si>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</si>
  <si>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</si>
  <si>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</si>
  <si>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</si>
  <si>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</si>
  <si>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</si>
  <si>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</si>
  <si>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</si>
  <si>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</si>
  <si>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</si>
  <si>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Discontinued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</si>
</sst>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14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5" t="s">
        <v>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2:22" ht="15" customHeight="1" x14ac:dyDescent="0.3">
      <c r="B2" s="60" t="s">
        <v>1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</row>
    <row r="3" spans="2:22" ht="7.95" customHeight="1" x14ac:dyDescent="0.3"/>
    <row r="4" spans="2:22" ht="18" customHeight="1" x14ac:dyDescent="0.3">
      <c r="B4" s="1"/>
      <c r="C4" s="62" t="s">
        <v>2</v>
      </c>
      <c r="D4" s="46"/>
      <c r="E4" s="46"/>
      <c r="F4" s="46"/>
      <c r="G4" s="57" t="s">
        <v>3</v>
      </c>
      <c r="H4" s="46"/>
      <c r="I4" s="46"/>
      <c r="J4" s="46"/>
      <c r="K4" s="58" t="s">
        <v>4</v>
      </c>
      <c r="L4" s="46"/>
      <c r="M4" s="46"/>
      <c r="N4" s="46"/>
      <c r="O4" s="59" t="s">
        <v>5</v>
      </c>
      <c r="P4" s="46"/>
      <c r="Q4" s="46"/>
      <c r="R4" s="46"/>
      <c r="S4" s="61" t="s">
        <v>6</v>
      </c>
      <c r="T4" s="46"/>
      <c r="U4" s="46"/>
      <c r="V4" s="46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COUNTIF(Laminates!M5:M288,"✓ OK")</f>
        <v>256</v>
      </c>
      <c r="E6" s="9">
        <f>COUNTIF(Laminates!M5:M288,"⚠ Check")+COUNTIF(Laminates!M5:M288,"⚠ Missing")+COUNTIF(Laminates!M5:M288,"❌ Disc")</f>
        <v>28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212</v>
      </c>
      <c r="I6" s="11">
        <f>COUNTIF(Laminates!V5:V288,"⚠ Check")+COUNTIF(Laminates!V5:V288,"⚠ Missing")+COUNTIF(Laminates!V5:V288,"❌ Disc")</f>
        <v>72</v>
      </c>
      <c r="J6" s="12">
        <f>IFERROR(COUNTIF(Laminates!N5:N288,"&lt;&gt;"&amp;"")/292,"—")</f>
        <v>0.9726027397260274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63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79</v>
      </c>
      <c r="I8" s="11">
        <f>COUNTIF('PU and Membrane'!V5:V85,"⚠ Check")+COUNTIF('PU and Membrane'!V5:V85,"⚠ Missing")+COUNTIF('PU and Membrane'!V5:V85,"❌ Disc")</f>
        <v>2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150</v>
      </c>
      <c r="E9" s="20">
        <f>COUNTIF(Rafters!M5:M168,"⚠ Check")+COUNTIF(Rafters!M5:M168,"⚠ Missing")+COUNTIF(Rafters!M5:M168,"❌ Disc")</f>
        <v>14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144</v>
      </c>
      <c r="I9" s="20">
        <f>COUNTIF(Rafters!V5:V168,"⚠ Check")+COUNTIF(Rafters!V5:V168,"⚠ Missing")+COUNTIF(Rafters!V5:V168,"❌ Disc")</f>
        <v>20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1406</v>
      </c>
      <c r="I10" s="11">
        <f>COUNTIF(Wallpaper!V5:V1413,"⚠ Check")+COUNTIF(Wallpaper!V5:V1413,"⚠ Missing")+COUNTIF(Wallpaper!V5:V1413,"❌ Disc")</f>
        <v>3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109</v>
      </c>
      <c r="E11" s="20">
        <f>COUNTIF(Quartz!M5:M117,"⚠ Check")+COUNTIF(Quartz!M5:M117,"⚠ Missing")+COUNTIF(Quartz!M5:M117,"❌ Disc")</f>
        <v>4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59</v>
      </c>
      <c r="I11" s="20">
        <f>COUNTIF(Quartz!V5:V77,"⚠ Check")+COUNTIF(Quartz!V5:V77,"⚠ Missing")+COUNTIF(Quartz!V5:V77,"❌ Disc")</f>
        <v>14</v>
      </c>
      <c r="J11" s="21">
        <f>IFERROR(COUNTIF(Quartz!N5:N77,"&lt;&gt;"&amp;"")/73,"—")</f>
        <v>1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9</v>
      </c>
      <c r="I12" s="11">
        <f>COUNTIF(Granite!V5:V15,"⚠ Check")+COUNTIF(Granite!V5:V15,"⚠ Missing")+COUNTIF(Granite!V5:V15,"❌ Disc")</f>
        <v>2</v>
      </c>
      <c r="J12" s="12">
        <f>IFERROR(COUNTIF(Granite!N5:N15,"&lt;&gt;"&amp;"")/11,"—")</f>
        <v>1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17</v>
      </c>
      <c r="I13" s="20">
        <f>COUNTIF('Wooden Flooring'!V5:V26,"⚠ Check")+COUNTIF('Wooden Flooring'!V5:V26,"⚠ Missing")+COUNTIF('Wooden Flooring'!V5:V26,"❌ Disc")</f>
        <v>5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248</v>
      </c>
      <c r="I17" s="20">
        <f>COUNTIF(Fabric!V5:V292,"⚠ Check")+COUNTIF(Fabric!V5:V292,"⚠ Missing")+COUNTIF(Fabric!V5:V292,"❌ Disc")</f>
        <v>40</v>
      </c>
      <c r="J17" s="21">
        <f>IFERROR(COUNTIF(Fabric!N5:N292,"&lt;&gt;"&amp;"")/486,"—")</f>
        <v>0.59259259259259256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4" t="s">
        <v>24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</row>
    <row r="20" spans="2:22" hidden="1" x14ac:dyDescent="0.3">
      <c r="B20" s="58" t="s">
        <v>25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</row>
    <row r="21" spans="2:22" ht="16.2" hidden="1" customHeight="1" x14ac:dyDescent="0.3">
      <c r="B21" s="56" t="s">
        <v>26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</row>
    <row r="22" spans="2:22" ht="16.2" hidden="1" customHeight="1" x14ac:dyDescent="0.3">
      <c r="B22" s="53" t="s">
        <v>27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</row>
    <row r="23" spans="2:22" ht="16.2" hidden="1" customHeight="1" x14ac:dyDescent="0.3">
      <c r="B23" s="56" t="s">
        <v>28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</row>
    <row r="24" spans="2:22" ht="16.2" hidden="1" customHeight="1" x14ac:dyDescent="0.3">
      <c r="B24" s="53" t="s">
        <v>29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</row>
    <row r="25" spans="2:22" ht="16.2" hidden="1" customHeight="1" x14ac:dyDescent="0.3">
      <c r="B25" s="56" t="s">
        <v>30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</row>
    <row r="26" spans="2:22" ht="16.2" hidden="1" customHeight="1" x14ac:dyDescent="0.3">
      <c r="B26" s="53" t="s">
        <v>31</v>
      </c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workbookViewId="0">
      <pane xSplit="4" ySplit="4" topLeftCell="M5" activePane="bottomRight" state="frozen"/>
      <selection pane="topRight" sqref="A1:AW1"/>
      <selection pane="bottomLeft" sqref="A1:AW1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32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0" si="0">IF(E5="","",IF(H5="Yes","❌ Disc",IF(G5="No","⚠ Missing",IF(J5="Yes","✓ OK","⚠ Check"))))</f>
        <v>✓ OK</v>
      </c>
      <c r="N5" s="43">
        <v>46193</v>
      </c>
      <c r="O5" s="26" t="s">
        <v>55</v>
      </c>
      <c r="P5" s="26" t="s">
        <v>57</v>
      </c>
      <c r="Q5" s="26" t="s">
        <v>56</v>
      </c>
      <c r="R5" s="26" t="s">
        <v>6225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0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0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59</v>
      </c>
      <c r="C6" s="41" t="s">
        <v>60</v>
      </c>
      <c r="D6" s="39" t="s">
        <v>54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46193</v>
      </c>
      <c r="O6" s="26" t="s">
        <v>55</v>
      </c>
      <c r="P6" s="26" t="s">
        <v>57</v>
      </c>
      <c r="Q6" s="26" t="s">
        <v>56</v>
      </c>
      <c r="R6" s="26" t="s">
        <v>6225</v>
      </c>
      <c r="S6" s="26" t="s">
        <v>57</v>
      </c>
      <c r="T6" s="27"/>
      <c r="U6" s="28" t="s">
        <v>57</v>
      </c>
      <c r="V6" s="29" t="str">
        <f t="shared" si="1"/>
        <v>❌ Disc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61</v>
      </c>
      <c r="C7" s="25" t="s">
        <v>62</v>
      </c>
      <c r="D7" s="23" t="s">
        <v>54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46193</v>
      </c>
      <c r="O7" s="26" t="s">
        <v>55</v>
      </c>
      <c r="P7" s="26" t="s">
        <v>57</v>
      </c>
      <c r="Q7" s="26" t="s">
        <v>56</v>
      </c>
      <c r="R7" s="26" t="s">
        <v>6225</v>
      </c>
      <c r="S7" s="26" t="s">
        <v>57</v>
      </c>
      <c r="T7" s="27"/>
      <c r="U7" s="28" t="s">
        <v>57</v>
      </c>
      <c r="V7" s="29" t="str">
        <f t="shared" si="1"/>
        <v>❌ Disc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63</v>
      </c>
      <c r="C8" s="41" t="s">
        <v>64</v>
      </c>
      <c r="D8" s="39" t="s">
        <v>54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46193</v>
      </c>
      <c r="O8" s="26" t="s">
        <v>55</v>
      </c>
      <c r="P8" s="26" t="s">
        <v>57</v>
      </c>
      <c r="Q8" s="26" t="s">
        <v>56</v>
      </c>
      <c r="R8" s="26" t="s">
        <v>6225</v>
      </c>
      <c r="S8" s="26" t="s">
        <v>57</v>
      </c>
      <c r="T8" s="27"/>
      <c r="U8" s="28" t="s">
        <v>57</v>
      </c>
      <c r="V8" s="29" t="str">
        <f t="shared" si="1"/>
        <v>❌ Disc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</v>
      </c>
      <c r="C9" s="25" t="s">
        <v>66</v>
      </c>
      <c r="D9" s="23" t="s">
        <v>54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46193</v>
      </c>
      <c r="O9" s="26" t="s">
        <v>55</v>
      </c>
      <c r="P9" s="26" t="s">
        <v>57</v>
      </c>
      <c r="Q9" s="26" t="s">
        <v>56</v>
      </c>
      <c r="R9" s="26" t="s">
        <v>6225</v>
      </c>
      <c r="S9" s="26" t="s">
        <v>57</v>
      </c>
      <c r="T9" s="27"/>
      <c r="U9" s="28" t="s">
        <v>57</v>
      </c>
      <c r="V9" s="29" t="str">
        <f t="shared" si="1"/>
        <v>❌ Disc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67</v>
      </c>
      <c r="C10" s="41" t="s">
        <v>68</v>
      </c>
      <c r="D10" s="39" t="s">
        <v>69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70</v>
      </c>
      <c r="C11" s="25" t="s">
        <v>71</v>
      </c>
      <c r="D11" s="23" t="s">
        <v>69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72</v>
      </c>
      <c r="C12" s="41" t="s">
        <v>73</v>
      </c>
      <c r="D12" s="39" t="s">
        <v>69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74</v>
      </c>
      <c r="C13" s="25" t="s">
        <v>75</v>
      </c>
      <c r="D13" s="23" t="s">
        <v>69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76</v>
      </c>
      <c r="C14" s="41" t="s">
        <v>77</v>
      </c>
      <c r="D14" s="39" t="s">
        <v>69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78</v>
      </c>
      <c r="C15" s="25" t="s">
        <v>79</v>
      </c>
      <c r="D15" s="23" t="s">
        <v>69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80</v>
      </c>
      <c r="C16" s="41" t="s">
        <v>81</v>
      </c>
      <c r="D16" s="39" t="s">
        <v>69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82</v>
      </c>
      <c r="C17" s="25" t="s">
        <v>83</v>
      </c>
      <c r="D17" s="23" t="s">
        <v>69</v>
      </c>
      <c r="E17" s="43">
        <v>46125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84</v>
      </c>
      <c r="C18" s="41" t="s">
        <v>85</v>
      </c>
      <c r="D18" s="39" t="s">
        <v>69</v>
      </c>
      <c r="E18" s="43">
        <v>46125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86</v>
      </c>
      <c r="C19" s="25" t="s">
        <v>87</v>
      </c>
      <c r="D19" s="23" t="s">
        <v>69</v>
      </c>
      <c r="E19" s="43">
        <v>46125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88</v>
      </c>
      <c r="C20" s="41" t="s">
        <v>89</v>
      </c>
      <c r="D20" s="39" t="s">
        <v>69</v>
      </c>
      <c r="E20" s="43">
        <v>46125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90</v>
      </c>
      <c r="C21" s="25" t="s">
        <v>91</v>
      </c>
      <c r="D21" s="23" t="s">
        <v>69</v>
      </c>
      <c r="E21" s="43">
        <v>46125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92</v>
      </c>
      <c r="C22" s="41" t="s">
        <v>93</v>
      </c>
      <c r="D22" s="39" t="s">
        <v>69</v>
      </c>
      <c r="E22" s="43">
        <v>46125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94</v>
      </c>
      <c r="C23" s="25" t="s">
        <v>95</v>
      </c>
      <c r="D23" s="23" t="s">
        <v>69</v>
      </c>
      <c r="E23" s="43">
        <v>46125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96</v>
      </c>
      <c r="C24" s="41" t="s">
        <v>97</v>
      </c>
      <c r="D24" s="39" t="s">
        <v>69</v>
      </c>
      <c r="E24" s="43">
        <v>46125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98</v>
      </c>
      <c r="C25" s="25" t="s">
        <v>99</v>
      </c>
      <c r="D25" s="23" t="s">
        <v>69</v>
      </c>
      <c r="E25" s="43">
        <v>46125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100</v>
      </c>
      <c r="C26" s="41" t="s">
        <v>101</v>
      </c>
      <c r="D26" s="39" t="s">
        <v>69</v>
      </c>
      <c r="E26" s="43">
        <v>46125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102</v>
      </c>
      <c r="C27" s="25" t="s">
        <v>103</v>
      </c>
      <c r="D27" s="23" t="s">
        <v>69</v>
      </c>
      <c r="E27" s="43">
        <v>46125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104</v>
      </c>
      <c r="C28" s="41" t="s">
        <v>105</v>
      </c>
      <c r="D28" s="39" t="s">
        <v>69</v>
      </c>
      <c r="E28" s="43">
        <v>46125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106</v>
      </c>
      <c r="C29" s="25" t="s">
        <v>107</v>
      </c>
      <c r="D29" s="23" t="s">
        <v>69</v>
      </c>
      <c r="E29" s="43">
        <v>46125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108</v>
      </c>
      <c r="C30" s="41" t="s">
        <v>109</v>
      </c>
      <c r="D30" s="39" t="s">
        <v>69</v>
      </c>
      <c r="E30" s="43">
        <v>46125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110</v>
      </c>
      <c r="C31" s="25" t="s">
        <v>111</v>
      </c>
      <c r="D31" s="23" t="s">
        <v>69</v>
      </c>
      <c r="E31" s="43">
        <v>46125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112</v>
      </c>
      <c r="C32" s="41" t="s">
        <v>113</v>
      </c>
      <c r="D32" s="39" t="s">
        <v>69</v>
      </c>
      <c r="E32" s="43">
        <v>46125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114</v>
      </c>
      <c r="C33" s="25" t="s">
        <v>115</v>
      </c>
      <c r="D33" s="23" t="s">
        <v>69</v>
      </c>
      <c r="E33" s="43">
        <v>46125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116</v>
      </c>
      <c r="C34" s="41" t="s">
        <v>117</v>
      </c>
      <c r="D34" s="39" t="s">
        <v>69</v>
      </c>
      <c r="E34" s="43">
        <v>46125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118</v>
      </c>
      <c r="C35" s="25" t="s">
        <v>119</v>
      </c>
      <c r="D35" s="23" t="s">
        <v>69</v>
      </c>
      <c r="E35" s="43">
        <v>46125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120</v>
      </c>
      <c r="C36" s="41" t="s">
        <v>121</v>
      </c>
      <c r="D36" s="39" t="s">
        <v>69</v>
      </c>
      <c r="E36" s="43">
        <v>46125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122</v>
      </c>
      <c r="C37" s="25" t="s">
        <v>123</v>
      </c>
      <c r="D37" s="23" t="s">
        <v>69</v>
      </c>
      <c r="E37" s="43">
        <v>46125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3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124</v>
      </c>
      <c r="C38" s="41" t="s">
        <v>125</v>
      </c>
      <c r="D38" s="39" t="s">
        <v>69</v>
      </c>
      <c r="E38" s="43">
        <v>46125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3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126</v>
      </c>
      <c r="C39" s="25" t="s">
        <v>127</v>
      </c>
      <c r="D39" s="23" t="s">
        <v>69</v>
      </c>
      <c r="E39" s="43">
        <v>46125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3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128</v>
      </c>
      <c r="C40" s="41" t="s">
        <v>129</v>
      </c>
      <c r="D40" s="39" t="s">
        <v>69</v>
      </c>
      <c r="E40" s="43">
        <v>46125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3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130</v>
      </c>
      <c r="C41" s="25" t="s">
        <v>131</v>
      </c>
      <c r="D41" s="23" t="s">
        <v>69</v>
      </c>
      <c r="E41" s="43">
        <v>46125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3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132</v>
      </c>
      <c r="C42" s="41" t="s">
        <v>133</v>
      </c>
      <c r="D42" s="39" t="s">
        <v>69</v>
      </c>
      <c r="E42" s="43">
        <v>46125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3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134</v>
      </c>
      <c r="C43" s="25" t="s">
        <v>135</v>
      </c>
      <c r="D43" s="23" t="s">
        <v>69</v>
      </c>
      <c r="E43" s="43">
        <v>46125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3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136</v>
      </c>
      <c r="C44" s="41" t="s">
        <v>137</v>
      </c>
      <c r="D44" s="39" t="s">
        <v>69</v>
      </c>
      <c r="E44" s="43">
        <v>46125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3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138</v>
      </c>
      <c r="C45" s="25" t="s">
        <v>139</v>
      </c>
      <c r="D45" s="23" t="s">
        <v>69</v>
      </c>
      <c r="E45" s="43">
        <v>46125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3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140</v>
      </c>
      <c r="C46" s="41" t="s">
        <v>141</v>
      </c>
      <c r="D46" s="39" t="s">
        <v>69</v>
      </c>
      <c r="E46" s="43">
        <v>46125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3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142</v>
      </c>
      <c r="C47" s="25" t="s">
        <v>143</v>
      </c>
      <c r="D47" s="23" t="s">
        <v>69</v>
      </c>
      <c r="E47" s="43">
        <v>46125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3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144</v>
      </c>
      <c r="C48" s="41" t="s">
        <v>145</v>
      </c>
      <c r="D48" s="39" t="s">
        <v>69</v>
      </c>
      <c r="E48" s="43">
        <v>46125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3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53</v>
      </c>
      <c r="B49" s="24" t="s">
        <v>146</v>
      </c>
      <c r="C49" s="25" t="s">
        <v>147</v>
      </c>
      <c r="D49" s="23" t="s">
        <v>148</v>
      </c>
      <c r="E49" s="43">
        <v>46125</v>
      </c>
      <c r="F49" s="26" t="s">
        <v>55</v>
      </c>
      <c r="G49" s="26" t="s">
        <v>56</v>
      </c>
      <c r="H49" s="26" t="s">
        <v>57</v>
      </c>
      <c r="I49" s="26" t="s">
        <v>149</v>
      </c>
      <c r="J49" s="26" t="s">
        <v>57</v>
      </c>
      <c r="K49" s="27" t="s">
        <v>150</v>
      </c>
      <c r="L49" s="28" t="s">
        <v>56</v>
      </c>
      <c r="M49" s="29" t="str">
        <f t="shared" si="0"/>
        <v>⚠ Check</v>
      </c>
      <c r="N49" s="43">
        <v>46193</v>
      </c>
      <c r="O49" s="26" t="s">
        <v>55</v>
      </c>
      <c r="P49" s="26" t="s">
        <v>56</v>
      </c>
      <c r="Q49" s="26" t="s">
        <v>57</v>
      </c>
      <c r="R49" s="26" t="s">
        <v>149</v>
      </c>
      <c r="S49" s="26" t="s">
        <v>57</v>
      </c>
      <c r="T49" s="27" t="s">
        <v>150</v>
      </c>
      <c r="U49" s="28" t="s">
        <v>56</v>
      </c>
      <c r="V49" s="29" t="str">
        <f t="shared" si="1"/>
        <v>⚠ Check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54</v>
      </c>
      <c r="B50" s="40" t="s">
        <v>151</v>
      </c>
      <c r="C50" s="41" t="s">
        <v>152</v>
      </c>
      <c r="D50" s="39" t="s">
        <v>148</v>
      </c>
      <c r="E50" s="43">
        <v>46125</v>
      </c>
      <c r="F50" s="26" t="s">
        <v>55</v>
      </c>
      <c r="G50" s="26" t="s">
        <v>57</v>
      </c>
      <c r="H50" s="26" t="s">
        <v>57</v>
      </c>
      <c r="I50" s="26" t="s">
        <v>153</v>
      </c>
      <c r="J50" s="26" t="s">
        <v>57</v>
      </c>
      <c r="K50" s="27"/>
      <c r="L50" s="28" t="s">
        <v>56</v>
      </c>
      <c r="M50" s="29" t="str">
        <f t="shared" si="0"/>
        <v>⚠ Missing</v>
      </c>
      <c r="N50" s="43">
        <v>46193</v>
      </c>
      <c r="O50" s="26" t="s">
        <v>55</v>
      </c>
      <c r="P50" s="26" t="s">
        <v>57</v>
      </c>
      <c r="Q50" s="26" t="s">
        <v>57</v>
      </c>
      <c r="R50" s="26" t="s">
        <v>153</v>
      </c>
      <c r="S50" s="26" t="s">
        <v>57</v>
      </c>
      <c r="T50" s="27"/>
      <c r="U50" s="28" t="s">
        <v>56</v>
      </c>
      <c r="V50" s="29" t="str">
        <f t="shared" si="1"/>
        <v>⚠ Missing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55</v>
      </c>
      <c r="B51" s="24" t="s">
        <v>154</v>
      </c>
      <c r="C51" s="25" t="s">
        <v>155</v>
      </c>
      <c r="D51" s="23" t="s">
        <v>148</v>
      </c>
      <c r="E51" s="43">
        <v>46125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3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56</v>
      </c>
      <c r="B52" s="40" t="s">
        <v>156</v>
      </c>
      <c r="C52" s="41" t="s">
        <v>157</v>
      </c>
      <c r="D52" s="39" t="s">
        <v>148</v>
      </c>
      <c r="E52" s="43">
        <v>46125</v>
      </c>
      <c r="F52" s="26" t="s">
        <v>55</v>
      </c>
      <c r="G52" s="26" t="s">
        <v>56</v>
      </c>
      <c r="H52" s="26" t="s">
        <v>57</v>
      </c>
      <c r="I52" s="26" t="s">
        <v>149</v>
      </c>
      <c r="J52" s="26" t="s">
        <v>57</v>
      </c>
      <c r="K52" s="27" t="s">
        <v>158</v>
      </c>
      <c r="L52" s="28" t="s">
        <v>56</v>
      </c>
      <c r="M52" s="29" t="str">
        <f t="shared" si="0"/>
        <v>⚠ Check</v>
      </c>
      <c r="N52" s="43">
        <v>46193</v>
      </c>
      <c r="O52" s="26" t="s">
        <v>55</v>
      </c>
      <c r="P52" s="26" t="s">
        <v>56</v>
      </c>
      <c r="Q52" s="26" t="s">
        <v>57</v>
      </c>
      <c r="R52" s="26" t="s">
        <v>149</v>
      </c>
      <c r="S52" s="26" t="s">
        <v>57</v>
      </c>
      <c r="T52" s="27" t="s">
        <v>158</v>
      </c>
      <c r="U52" s="28" t="s">
        <v>56</v>
      </c>
      <c r="V52" s="29" t="str">
        <f t="shared" si="1"/>
        <v>⚠ Check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57</v>
      </c>
      <c r="B53" s="24" t="s">
        <v>159</v>
      </c>
      <c r="C53" s="25" t="s">
        <v>160</v>
      </c>
      <c r="D53" s="23" t="s">
        <v>148</v>
      </c>
      <c r="E53" s="43">
        <v>46125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3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58</v>
      </c>
      <c r="B54" s="40" t="s">
        <v>161</v>
      </c>
      <c r="C54" s="41" t="s">
        <v>162</v>
      </c>
      <c r="D54" s="39" t="s">
        <v>148</v>
      </c>
      <c r="E54" s="43">
        <v>46125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3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59</v>
      </c>
      <c r="B55" s="24" t="s">
        <v>163</v>
      </c>
      <c r="C55" s="25" t="s">
        <v>164</v>
      </c>
      <c r="D55" s="23" t="s">
        <v>148</v>
      </c>
      <c r="E55" s="43">
        <v>46125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3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60</v>
      </c>
      <c r="B56" s="40" t="s">
        <v>165</v>
      </c>
      <c r="C56" s="41" t="s">
        <v>166</v>
      </c>
      <c r="D56" s="39" t="s">
        <v>148</v>
      </c>
      <c r="E56" s="43">
        <v>46125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3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61</v>
      </c>
      <c r="B57" s="24" t="s">
        <v>167</v>
      </c>
      <c r="C57" s="25" t="s">
        <v>168</v>
      </c>
      <c r="D57" s="23" t="s">
        <v>148</v>
      </c>
      <c r="E57" s="43">
        <v>46125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43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62</v>
      </c>
      <c r="B58" s="40" t="s">
        <v>169</v>
      </c>
      <c r="C58" s="41" t="s">
        <v>170</v>
      </c>
      <c r="D58" s="39" t="s">
        <v>148</v>
      </c>
      <c r="E58" s="43">
        <v>46125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3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63</v>
      </c>
      <c r="B59" s="24" t="s">
        <v>171</v>
      </c>
      <c r="C59" s="25" t="s">
        <v>172</v>
      </c>
      <c r="D59" s="23" t="s">
        <v>148</v>
      </c>
      <c r="E59" s="43">
        <v>46125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3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64</v>
      </c>
      <c r="B60" s="40" t="s">
        <v>173</v>
      </c>
      <c r="C60" s="41" t="s">
        <v>174</v>
      </c>
      <c r="D60" s="39" t="s">
        <v>148</v>
      </c>
      <c r="E60" s="43">
        <v>46125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3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65</v>
      </c>
      <c r="B61" s="24" t="s">
        <v>175</v>
      </c>
      <c r="C61" s="25" t="s">
        <v>176</v>
      </c>
      <c r="D61" s="23" t="s">
        <v>148</v>
      </c>
      <c r="E61" s="43">
        <v>46125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ref="M61:M124" si="5">IF(E61="","",IF(H61="Yes","❌ Disc",IF(G61="No","⚠ Missing",IF(J61="Yes","✓ OK","⚠ Check"))))</f>
        <v>✓ OK</v>
      </c>
      <c r="N61" s="43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ref="AE61:AE124" si="6">IF(W61="","",IF(Z61="Yes","❌ Disc",IF(Y61="No","⚠ Missing",IF(AB61="Yes","✓ OK","⚠ Check"))))</f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ref="AN61:AN124" si="7"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ref="AW61:AW124" si="8">IF(AO61="","",IF(AR61="Yes","❌ Disc",IF(AQ61="No","⚠ Missing",IF(AT61="Yes","✓ OK","⚠ Check"))))</f>
        <v/>
      </c>
    </row>
    <row r="62" spans="1:49" ht="18" customHeight="1" x14ac:dyDescent="0.3">
      <c r="A62" s="39">
        <v>66</v>
      </c>
      <c r="B62" s="40" t="s">
        <v>177</v>
      </c>
      <c r="C62" s="41" t="s">
        <v>178</v>
      </c>
      <c r="D62" s="39" t="s">
        <v>148</v>
      </c>
      <c r="E62" s="43">
        <v>46125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3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67</v>
      </c>
      <c r="B63" s="24" t="s">
        <v>179</v>
      </c>
      <c r="C63" s="25" t="s">
        <v>180</v>
      </c>
      <c r="D63" s="23" t="s">
        <v>148</v>
      </c>
      <c r="E63" s="43">
        <v>46125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3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68</v>
      </c>
      <c r="B64" s="40" t="s">
        <v>181</v>
      </c>
      <c r="C64" s="41" t="s">
        <v>182</v>
      </c>
      <c r="D64" s="39" t="s">
        <v>148</v>
      </c>
      <c r="E64" s="43">
        <v>46125</v>
      </c>
      <c r="F64" s="26" t="s">
        <v>55</v>
      </c>
      <c r="G64" s="26" t="s">
        <v>56</v>
      </c>
      <c r="H64" s="26" t="s">
        <v>57</v>
      </c>
      <c r="I64" s="26" t="s">
        <v>149</v>
      </c>
      <c r="J64" s="26" t="s">
        <v>57</v>
      </c>
      <c r="K64" s="27" t="s">
        <v>150</v>
      </c>
      <c r="L64" s="28" t="s">
        <v>56</v>
      </c>
      <c r="M64" s="29" t="str">
        <f t="shared" si="5"/>
        <v>⚠ Check</v>
      </c>
      <c r="N64" s="43">
        <v>46193</v>
      </c>
      <c r="O64" s="26" t="s">
        <v>55</v>
      </c>
      <c r="P64" s="26" t="s">
        <v>56</v>
      </c>
      <c r="Q64" s="26" t="s">
        <v>57</v>
      </c>
      <c r="R64" s="26" t="s">
        <v>149</v>
      </c>
      <c r="S64" s="26" t="s">
        <v>57</v>
      </c>
      <c r="T64" s="27" t="s">
        <v>150</v>
      </c>
      <c r="U64" s="28" t="s">
        <v>56</v>
      </c>
      <c r="V64" s="29" t="str">
        <f t="shared" si="1"/>
        <v>⚠ Check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69</v>
      </c>
      <c r="B65" s="24" t="s">
        <v>183</v>
      </c>
      <c r="C65" s="25" t="s">
        <v>184</v>
      </c>
      <c r="D65" s="23" t="s">
        <v>185</v>
      </c>
      <c r="E65" s="43">
        <v>46125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3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70</v>
      </c>
      <c r="B66" s="40" t="s">
        <v>186</v>
      </c>
      <c r="C66" s="41" t="s">
        <v>187</v>
      </c>
      <c r="D66" s="39" t="s">
        <v>185</v>
      </c>
      <c r="E66" s="43">
        <v>46125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3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71</v>
      </c>
      <c r="B67" s="24" t="s">
        <v>188</v>
      </c>
      <c r="C67" s="25" t="s">
        <v>189</v>
      </c>
      <c r="D67" s="23" t="s">
        <v>185</v>
      </c>
      <c r="E67" s="43">
        <v>46125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3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72</v>
      </c>
      <c r="B68" s="40" t="s">
        <v>190</v>
      </c>
      <c r="C68" s="41" t="s">
        <v>191</v>
      </c>
      <c r="D68" s="39" t="s">
        <v>185</v>
      </c>
      <c r="E68" s="43">
        <v>46125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3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73</v>
      </c>
      <c r="B69" s="24" t="s">
        <v>192</v>
      </c>
      <c r="C69" s="25" t="s">
        <v>193</v>
      </c>
      <c r="D69" s="23" t="s">
        <v>185</v>
      </c>
      <c r="E69" s="43">
        <v>46125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43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9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si="6"/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7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8"/>
        <v/>
      </c>
    </row>
    <row r="70" spans="1:49" ht="18" customHeight="1" x14ac:dyDescent="0.3">
      <c r="A70" s="39">
        <v>74</v>
      </c>
      <c r="B70" s="40" t="s">
        <v>194</v>
      </c>
      <c r="C70" s="41" t="s">
        <v>195</v>
      </c>
      <c r="D70" s="39" t="s">
        <v>185</v>
      </c>
      <c r="E70" s="43">
        <v>46125</v>
      </c>
      <c r="F70" s="26" t="s">
        <v>55</v>
      </c>
      <c r="G70" s="26" t="s">
        <v>56</v>
      </c>
      <c r="H70" s="26" t="s">
        <v>57</v>
      </c>
      <c r="I70" s="26" t="s">
        <v>149</v>
      </c>
      <c r="J70" s="26" t="s">
        <v>57</v>
      </c>
      <c r="K70" s="27" t="s">
        <v>158</v>
      </c>
      <c r="L70" s="28" t="s">
        <v>56</v>
      </c>
      <c r="M70" s="29" t="str">
        <f t="shared" si="5"/>
        <v>⚠ Check</v>
      </c>
      <c r="N70" s="43">
        <v>46193</v>
      </c>
      <c r="O70" s="26" t="s">
        <v>55</v>
      </c>
      <c r="P70" s="26" t="s">
        <v>56</v>
      </c>
      <c r="Q70" s="26" t="s">
        <v>57</v>
      </c>
      <c r="R70" s="26" t="s">
        <v>149</v>
      </c>
      <c r="S70" s="26" t="s">
        <v>57</v>
      </c>
      <c r="T70" s="27" t="s">
        <v>158</v>
      </c>
      <c r="U70" s="28" t="s">
        <v>56</v>
      </c>
      <c r="V70" s="29" t="str">
        <f t="shared" si="9"/>
        <v>⚠ Check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6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7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8"/>
        <v/>
      </c>
    </row>
    <row r="71" spans="1:49" ht="18" customHeight="1" x14ac:dyDescent="0.3">
      <c r="A71" s="23">
        <v>75</v>
      </c>
      <c r="B71" s="24" t="s">
        <v>196</v>
      </c>
      <c r="C71" s="25" t="s">
        <v>197</v>
      </c>
      <c r="D71" s="23" t="s">
        <v>185</v>
      </c>
      <c r="E71" s="43">
        <v>46125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3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6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7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8"/>
        <v/>
      </c>
    </row>
    <row r="72" spans="1:49" ht="18" customHeight="1" x14ac:dyDescent="0.3">
      <c r="A72" s="39">
        <v>76</v>
      </c>
      <c r="B72" s="40" t="s">
        <v>198</v>
      </c>
      <c r="C72" s="41" t="s">
        <v>199</v>
      </c>
      <c r="D72" s="39" t="s">
        <v>185</v>
      </c>
      <c r="E72" s="43">
        <v>46125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43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6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7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8"/>
        <v/>
      </c>
    </row>
    <row r="73" spans="1:49" ht="18" customHeight="1" x14ac:dyDescent="0.3">
      <c r="A73" s="23">
        <v>77</v>
      </c>
      <c r="B73" s="24" t="s">
        <v>200</v>
      </c>
      <c r="C73" s="25" t="s">
        <v>201</v>
      </c>
      <c r="D73" s="23" t="s">
        <v>185</v>
      </c>
      <c r="E73" s="43">
        <v>46125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56</v>
      </c>
      <c r="M73" s="29" t="str">
        <f t="shared" si="5"/>
        <v>✓ OK</v>
      </c>
      <c r="N73" s="43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56</v>
      </c>
      <c r="V73" s="29" t="str">
        <f t="shared" si="9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6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7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8"/>
        <v/>
      </c>
    </row>
    <row r="74" spans="1:49" ht="18" customHeight="1" x14ac:dyDescent="0.3">
      <c r="A74" s="39">
        <v>78</v>
      </c>
      <c r="B74" s="40" t="s">
        <v>202</v>
      </c>
      <c r="C74" s="41" t="s">
        <v>203</v>
      </c>
      <c r="D74" s="39" t="s">
        <v>185</v>
      </c>
      <c r="E74" s="43">
        <v>46125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3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6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7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8"/>
        <v/>
      </c>
    </row>
    <row r="75" spans="1:49" ht="18" customHeight="1" x14ac:dyDescent="0.3">
      <c r="A75" s="23">
        <v>79</v>
      </c>
      <c r="B75" s="24" t="s">
        <v>204</v>
      </c>
      <c r="C75" s="25" t="s">
        <v>205</v>
      </c>
      <c r="D75" s="23" t="s">
        <v>185</v>
      </c>
      <c r="E75" s="43">
        <v>46125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3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6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7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8"/>
        <v/>
      </c>
    </row>
    <row r="76" spans="1:49" ht="18" customHeight="1" x14ac:dyDescent="0.3">
      <c r="A76" s="39">
        <v>80</v>
      </c>
      <c r="B76" s="40" t="s">
        <v>206</v>
      </c>
      <c r="C76" s="41" t="s">
        <v>207</v>
      </c>
      <c r="D76" s="39" t="s">
        <v>185</v>
      </c>
      <c r="E76" s="43">
        <v>46125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3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6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7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8"/>
        <v/>
      </c>
    </row>
    <row r="77" spans="1:49" ht="18" customHeight="1" x14ac:dyDescent="0.3">
      <c r="A77" s="23">
        <v>81</v>
      </c>
      <c r="B77" s="24" t="s">
        <v>208</v>
      </c>
      <c r="C77" s="25" t="s">
        <v>209</v>
      </c>
      <c r="D77" s="23" t="s">
        <v>185</v>
      </c>
      <c r="E77" s="43">
        <v>46125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3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6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7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8"/>
        <v/>
      </c>
    </row>
    <row r="78" spans="1:49" ht="18" customHeight="1" x14ac:dyDescent="0.3">
      <c r="A78" s="39">
        <v>82</v>
      </c>
      <c r="B78" s="40" t="s">
        <v>210</v>
      </c>
      <c r="C78" s="41" t="s">
        <v>211</v>
      </c>
      <c r="D78" s="39" t="s">
        <v>185</v>
      </c>
      <c r="E78" s="43">
        <v>46125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43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6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7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8"/>
        <v/>
      </c>
    </row>
    <row r="79" spans="1:49" ht="18" customHeight="1" x14ac:dyDescent="0.3">
      <c r="A79" s="23">
        <v>83</v>
      </c>
      <c r="B79" s="24" t="s">
        <v>212</v>
      </c>
      <c r="C79" s="25" t="s">
        <v>213</v>
      </c>
      <c r="D79" s="23" t="s">
        <v>185</v>
      </c>
      <c r="E79" s="43">
        <v>46125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43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6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7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8"/>
        <v/>
      </c>
    </row>
    <row r="80" spans="1:49" ht="18" customHeight="1" x14ac:dyDescent="0.3">
      <c r="A80" s="39">
        <v>84</v>
      </c>
      <c r="B80" s="40" t="s">
        <v>214</v>
      </c>
      <c r="C80" s="41" t="s">
        <v>215</v>
      </c>
      <c r="D80" s="39" t="s">
        <v>185</v>
      </c>
      <c r="E80" s="43">
        <v>46125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3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6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7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8"/>
        <v/>
      </c>
    </row>
    <row r="81" spans="1:49" ht="18" customHeight="1" x14ac:dyDescent="0.3">
      <c r="A81" s="23">
        <v>85</v>
      </c>
      <c r="B81" s="24" t="s">
        <v>216</v>
      </c>
      <c r="C81" s="25" t="s">
        <v>217</v>
      </c>
      <c r="D81" s="23" t="s">
        <v>185</v>
      </c>
      <c r="E81" s="43">
        <v>46125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43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6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7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8"/>
        <v/>
      </c>
    </row>
    <row r="82" spans="1:49" ht="18" customHeight="1" x14ac:dyDescent="0.3">
      <c r="A82" s="39">
        <v>86</v>
      </c>
      <c r="B82" s="40" t="s">
        <v>218</v>
      </c>
      <c r="C82" s="41" t="s">
        <v>219</v>
      </c>
      <c r="D82" s="39" t="s">
        <v>185</v>
      </c>
      <c r="E82" s="43">
        <v>46125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43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6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7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8"/>
        <v/>
      </c>
    </row>
    <row r="83" spans="1:49" ht="18" customHeight="1" x14ac:dyDescent="0.3">
      <c r="A83" s="23">
        <v>87</v>
      </c>
      <c r="B83" s="24" t="s">
        <v>220</v>
      </c>
      <c r="C83" s="25" t="s">
        <v>221</v>
      </c>
      <c r="D83" s="23" t="s">
        <v>185</v>
      </c>
      <c r="E83" s="43">
        <v>46125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3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6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7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8"/>
        <v/>
      </c>
    </row>
    <row r="84" spans="1:49" ht="18" customHeight="1" x14ac:dyDescent="0.3">
      <c r="A84" s="39">
        <v>88</v>
      </c>
      <c r="B84" s="40" t="s">
        <v>222</v>
      </c>
      <c r="C84" s="41" t="s">
        <v>223</v>
      </c>
      <c r="D84" s="39" t="s">
        <v>185</v>
      </c>
      <c r="E84" s="43">
        <v>46125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43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6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7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8"/>
        <v/>
      </c>
    </row>
    <row r="85" spans="1:49" ht="18" customHeight="1" x14ac:dyDescent="0.3">
      <c r="A85" s="23">
        <v>89</v>
      </c>
      <c r="B85" s="24" t="s">
        <v>224</v>
      </c>
      <c r="C85" s="25" t="s">
        <v>225</v>
      </c>
      <c r="D85" s="23" t="s">
        <v>185</v>
      </c>
      <c r="E85" s="43">
        <v>46125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3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6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7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8"/>
        <v/>
      </c>
    </row>
    <row r="86" spans="1:49" ht="18" customHeight="1" x14ac:dyDescent="0.3">
      <c r="A86" s="39">
        <v>90</v>
      </c>
      <c r="B86" s="40" t="s">
        <v>226</v>
      </c>
      <c r="C86" s="41" t="s">
        <v>227</v>
      </c>
      <c r="D86" s="39" t="s">
        <v>185</v>
      </c>
      <c r="E86" s="43">
        <v>46125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43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6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7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8"/>
        <v/>
      </c>
    </row>
    <row r="87" spans="1:49" ht="18" customHeight="1" x14ac:dyDescent="0.3">
      <c r="A87" s="23">
        <v>91</v>
      </c>
      <c r="B87" s="24" t="s">
        <v>228</v>
      </c>
      <c r="C87" s="25" t="s">
        <v>229</v>
      </c>
      <c r="D87" s="23" t="s">
        <v>185</v>
      </c>
      <c r="E87" s="43">
        <v>46125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43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6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7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8"/>
        <v/>
      </c>
    </row>
    <row r="88" spans="1:49" ht="18" customHeight="1" x14ac:dyDescent="0.3">
      <c r="A88" s="39">
        <v>92</v>
      </c>
      <c r="B88" s="40" t="s">
        <v>230</v>
      </c>
      <c r="C88" s="41" t="s">
        <v>231</v>
      </c>
      <c r="D88" s="39" t="s">
        <v>185</v>
      </c>
      <c r="E88" s="43">
        <v>46125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3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6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7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8"/>
        <v/>
      </c>
    </row>
    <row r="89" spans="1:49" ht="18" customHeight="1" x14ac:dyDescent="0.3">
      <c r="A89" s="23">
        <v>93</v>
      </c>
      <c r="B89" s="24" t="s">
        <v>232</v>
      </c>
      <c r="C89" s="25" t="s">
        <v>233</v>
      </c>
      <c r="D89" s="23" t="s">
        <v>185</v>
      </c>
      <c r="E89" s="43">
        <v>46125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3">
        <v>46193</v>
      </c>
      <c r="O89" s="26" t="s">
        <v>55</v>
      </c>
      <c r="P89" s="26" t="s">
        <v>57</v>
      </c>
      <c r="Q89" s="26" t="s">
        <v>56</v>
      </c>
      <c r="R89" s="26" t="s">
        <v>6225</v>
      </c>
      <c r="S89" s="26" t="s">
        <v>57</v>
      </c>
      <c r="T89" s="27"/>
      <c r="U89" s="28" t="s">
        <v>57</v>
      </c>
      <c r="V89" s="29" t="str">
        <f t="shared" si="9"/>
        <v>❌ Disc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6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7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8"/>
        <v/>
      </c>
    </row>
    <row r="90" spans="1:49" ht="18" customHeight="1" x14ac:dyDescent="0.3">
      <c r="A90" s="39">
        <v>94</v>
      </c>
      <c r="B90" s="40" t="s">
        <v>234</v>
      </c>
      <c r="C90" s="41" t="s">
        <v>235</v>
      </c>
      <c r="D90" s="39" t="s">
        <v>185</v>
      </c>
      <c r="E90" s="43">
        <v>46125</v>
      </c>
      <c r="F90" s="26" t="s">
        <v>55</v>
      </c>
      <c r="G90" s="26" t="s">
        <v>56</v>
      </c>
      <c r="H90" s="26" t="s">
        <v>57</v>
      </c>
      <c r="I90" s="26" t="s">
        <v>149</v>
      </c>
      <c r="J90" s="26" t="s">
        <v>57</v>
      </c>
      <c r="K90" s="27" t="s">
        <v>150</v>
      </c>
      <c r="L90" s="28" t="s">
        <v>56</v>
      </c>
      <c r="M90" s="29" t="str">
        <f t="shared" si="5"/>
        <v>⚠ Check</v>
      </c>
      <c r="N90" s="43">
        <v>46193</v>
      </c>
      <c r="O90" s="26" t="s">
        <v>55</v>
      </c>
      <c r="P90" s="26" t="s">
        <v>56</v>
      </c>
      <c r="Q90" s="26" t="s">
        <v>57</v>
      </c>
      <c r="R90" s="26" t="s">
        <v>149</v>
      </c>
      <c r="S90" s="26" t="s">
        <v>57</v>
      </c>
      <c r="T90" s="27" t="s">
        <v>150</v>
      </c>
      <c r="U90" s="28" t="s">
        <v>56</v>
      </c>
      <c r="V90" s="29" t="str">
        <f t="shared" si="9"/>
        <v>⚠ Check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6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7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8"/>
        <v/>
      </c>
    </row>
    <row r="91" spans="1:49" ht="18" customHeight="1" x14ac:dyDescent="0.3">
      <c r="A91" s="23">
        <v>95</v>
      </c>
      <c r="B91" s="24" t="s">
        <v>236</v>
      </c>
      <c r="C91" s="25" t="s">
        <v>237</v>
      </c>
      <c r="D91" s="23" t="s">
        <v>185</v>
      </c>
      <c r="E91" s="43">
        <v>46125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3">
        <v>46193</v>
      </c>
      <c r="O91" s="26" t="s">
        <v>55</v>
      </c>
      <c r="P91" s="26" t="s">
        <v>57</v>
      </c>
      <c r="Q91" s="26" t="s">
        <v>56</v>
      </c>
      <c r="R91" s="26" t="s">
        <v>6225</v>
      </c>
      <c r="S91" s="26" t="s">
        <v>57</v>
      </c>
      <c r="T91" s="27"/>
      <c r="U91" s="28" t="s">
        <v>57</v>
      </c>
      <c r="V91" s="29" t="str">
        <f t="shared" si="9"/>
        <v>❌ Disc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6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7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8"/>
        <v/>
      </c>
    </row>
    <row r="92" spans="1:49" ht="18" customHeight="1" x14ac:dyDescent="0.3">
      <c r="A92" s="39">
        <v>96</v>
      </c>
      <c r="B92" s="40" t="s">
        <v>238</v>
      </c>
      <c r="C92" s="41" t="s">
        <v>239</v>
      </c>
      <c r="D92" s="39" t="s">
        <v>185</v>
      </c>
      <c r="E92" s="43">
        <v>46125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 t="s">
        <v>240</v>
      </c>
      <c r="L92" s="28" t="s">
        <v>57</v>
      </c>
      <c r="M92" s="29" t="str">
        <f t="shared" si="5"/>
        <v>✓ OK</v>
      </c>
      <c r="N92" s="43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 t="s">
        <v>240</v>
      </c>
      <c r="U92" s="28" t="s">
        <v>57</v>
      </c>
      <c r="V92" s="29" t="str">
        <f t="shared" si="9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6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7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8"/>
        <v/>
      </c>
    </row>
    <row r="93" spans="1:49" ht="18" customHeight="1" x14ac:dyDescent="0.3">
      <c r="A93" s="23">
        <v>97</v>
      </c>
      <c r="B93" s="24" t="s">
        <v>241</v>
      </c>
      <c r="C93" s="25" t="s">
        <v>242</v>
      </c>
      <c r="D93" s="23" t="s">
        <v>185</v>
      </c>
      <c r="E93" s="43">
        <v>46125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 t="s">
        <v>240</v>
      </c>
      <c r="L93" s="28" t="s">
        <v>57</v>
      </c>
      <c r="M93" s="29" t="str">
        <f t="shared" si="5"/>
        <v>✓ OK</v>
      </c>
      <c r="N93" s="43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 t="s">
        <v>240</v>
      </c>
      <c r="U93" s="28" t="s">
        <v>57</v>
      </c>
      <c r="V93" s="29" t="str">
        <f t="shared" si="9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6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7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8"/>
        <v/>
      </c>
    </row>
    <row r="94" spans="1:49" ht="18" customHeight="1" x14ac:dyDescent="0.3">
      <c r="A94" s="39">
        <v>98</v>
      </c>
      <c r="B94" s="40" t="s">
        <v>243</v>
      </c>
      <c r="C94" s="41" t="s">
        <v>244</v>
      </c>
      <c r="D94" s="39" t="s">
        <v>185</v>
      </c>
      <c r="E94" s="43">
        <v>46125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 t="s">
        <v>240</v>
      </c>
      <c r="L94" s="28" t="s">
        <v>57</v>
      </c>
      <c r="M94" s="29" t="str">
        <f t="shared" si="5"/>
        <v>✓ OK</v>
      </c>
      <c r="N94" s="43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 t="s">
        <v>240</v>
      </c>
      <c r="U94" s="28" t="s">
        <v>57</v>
      </c>
      <c r="V94" s="29" t="str">
        <f t="shared" si="9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6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7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8"/>
        <v/>
      </c>
    </row>
    <row r="95" spans="1:49" ht="18" customHeight="1" x14ac:dyDescent="0.3">
      <c r="A95" s="23">
        <v>99</v>
      </c>
      <c r="B95" s="24" t="s">
        <v>245</v>
      </c>
      <c r="C95" s="25" t="s">
        <v>246</v>
      </c>
      <c r="D95" s="23" t="s">
        <v>185</v>
      </c>
      <c r="E95" s="43">
        <v>46125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3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6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7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8"/>
        <v/>
      </c>
    </row>
    <row r="96" spans="1:49" ht="18" customHeight="1" x14ac:dyDescent="0.3">
      <c r="A96" s="39">
        <v>100</v>
      </c>
      <c r="B96" s="40" t="s">
        <v>247</v>
      </c>
      <c r="C96" s="41" t="s">
        <v>248</v>
      </c>
      <c r="D96" s="39" t="s">
        <v>185</v>
      </c>
      <c r="E96" s="43">
        <v>46125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3">
        <v>46193</v>
      </c>
      <c r="O96" s="26" t="s">
        <v>55</v>
      </c>
      <c r="P96" s="26" t="s">
        <v>57</v>
      </c>
      <c r="Q96" s="26" t="s">
        <v>56</v>
      </c>
      <c r="R96" s="26" t="s">
        <v>6225</v>
      </c>
      <c r="S96" s="26" t="s">
        <v>57</v>
      </c>
      <c r="T96" s="27"/>
      <c r="U96" s="28" t="s">
        <v>57</v>
      </c>
      <c r="V96" s="29" t="str">
        <f t="shared" si="9"/>
        <v>❌ Disc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6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7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8"/>
        <v/>
      </c>
    </row>
    <row r="97" spans="1:49" ht="18" customHeight="1" x14ac:dyDescent="0.3">
      <c r="A97" s="23">
        <v>101</v>
      </c>
      <c r="B97" s="24" t="s">
        <v>249</v>
      </c>
      <c r="C97" s="25" t="s">
        <v>250</v>
      </c>
      <c r="D97" s="23" t="s">
        <v>185</v>
      </c>
      <c r="E97" s="43">
        <v>46125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3">
        <v>46193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6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7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8"/>
        <v/>
      </c>
    </row>
    <row r="98" spans="1:49" ht="18" customHeight="1" x14ac:dyDescent="0.3">
      <c r="A98" s="39">
        <v>102</v>
      </c>
      <c r="B98" s="40" t="s">
        <v>251</v>
      </c>
      <c r="C98" s="41" t="s">
        <v>252</v>
      </c>
      <c r="D98" s="39" t="s">
        <v>185</v>
      </c>
      <c r="E98" s="43">
        <v>46125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3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9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6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7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8"/>
        <v/>
      </c>
    </row>
    <row r="99" spans="1:49" ht="18" customHeight="1" x14ac:dyDescent="0.3">
      <c r="A99" s="23">
        <v>103</v>
      </c>
      <c r="B99" s="24" t="s">
        <v>253</v>
      </c>
      <c r="C99" s="25" t="s">
        <v>254</v>
      </c>
      <c r="D99" s="23" t="s">
        <v>185</v>
      </c>
      <c r="E99" s="43">
        <v>46125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3">
        <v>46193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6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7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8"/>
        <v/>
      </c>
    </row>
    <row r="100" spans="1:49" ht="18" customHeight="1" x14ac:dyDescent="0.3">
      <c r="A100" s="39">
        <v>104</v>
      </c>
      <c r="B100" s="40" t="s">
        <v>255</v>
      </c>
      <c r="C100" s="41" t="s">
        <v>256</v>
      </c>
      <c r="D100" s="39" t="s">
        <v>185</v>
      </c>
      <c r="E100" s="43">
        <v>46125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3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6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7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8"/>
        <v/>
      </c>
    </row>
    <row r="101" spans="1:49" ht="18" customHeight="1" x14ac:dyDescent="0.3">
      <c r="A101" s="23">
        <v>105</v>
      </c>
      <c r="B101" s="24" t="s">
        <v>257</v>
      </c>
      <c r="C101" s="25" t="s">
        <v>258</v>
      </c>
      <c r="D101" s="23" t="s">
        <v>185</v>
      </c>
      <c r="E101" s="43">
        <v>46125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3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9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6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7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8"/>
        <v/>
      </c>
    </row>
    <row r="102" spans="1:49" ht="18" customHeight="1" x14ac:dyDescent="0.3">
      <c r="A102" s="39">
        <v>106</v>
      </c>
      <c r="B102" s="40" t="s">
        <v>259</v>
      </c>
      <c r="C102" s="41" t="s">
        <v>260</v>
      </c>
      <c r="D102" s="39" t="s">
        <v>185</v>
      </c>
      <c r="E102" s="43">
        <v>46125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3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6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7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8"/>
        <v/>
      </c>
    </row>
    <row r="103" spans="1:49" ht="18" customHeight="1" x14ac:dyDescent="0.3">
      <c r="A103" s="23">
        <v>107</v>
      </c>
      <c r="B103" s="24" t="s">
        <v>261</v>
      </c>
      <c r="C103" s="25" t="s">
        <v>262</v>
      </c>
      <c r="D103" s="23" t="s">
        <v>185</v>
      </c>
      <c r="E103" s="43">
        <v>46125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3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6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7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8"/>
        <v/>
      </c>
    </row>
    <row r="104" spans="1:49" ht="18" customHeight="1" x14ac:dyDescent="0.3">
      <c r="A104" s="39">
        <v>108</v>
      </c>
      <c r="B104" s="40" t="s">
        <v>263</v>
      </c>
      <c r="C104" s="41" t="s">
        <v>264</v>
      </c>
      <c r="D104" s="39" t="s">
        <v>185</v>
      </c>
      <c r="E104" s="43">
        <v>46125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3">
        <v>46193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6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7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8"/>
        <v/>
      </c>
    </row>
    <row r="105" spans="1:49" ht="18" customHeight="1" x14ac:dyDescent="0.3">
      <c r="A105" s="23">
        <v>109</v>
      </c>
      <c r="B105" s="24" t="s">
        <v>265</v>
      </c>
      <c r="C105" s="25" t="s">
        <v>266</v>
      </c>
      <c r="D105" s="23" t="s">
        <v>185</v>
      </c>
      <c r="E105" s="43">
        <v>46125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3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9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6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7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8"/>
        <v/>
      </c>
    </row>
    <row r="106" spans="1:49" ht="18" customHeight="1" x14ac:dyDescent="0.3">
      <c r="A106" s="39">
        <v>110</v>
      </c>
      <c r="B106" s="40" t="s">
        <v>267</v>
      </c>
      <c r="C106" s="41" t="s">
        <v>268</v>
      </c>
      <c r="D106" s="39" t="s">
        <v>185</v>
      </c>
      <c r="E106" s="43">
        <v>46125</v>
      </c>
      <c r="F106" s="26" t="s">
        <v>55</v>
      </c>
      <c r="G106" s="26" t="s">
        <v>56</v>
      </c>
      <c r="H106" s="26" t="s">
        <v>57</v>
      </c>
      <c r="I106" s="26" t="s">
        <v>149</v>
      </c>
      <c r="J106" s="26" t="s">
        <v>57</v>
      </c>
      <c r="K106" s="27" t="s">
        <v>269</v>
      </c>
      <c r="L106" s="28" t="s">
        <v>56</v>
      </c>
      <c r="M106" s="29" t="str">
        <f t="shared" si="5"/>
        <v>⚠ Check</v>
      </c>
      <c r="N106" s="43">
        <v>46193</v>
      </c>
      <c r="O106" s="26" t="s">
        <v>55</v>
      </c>
      <c r="P106" s="26" t="s">
        <v>56</v>
      </c>
      <c r="Q106" s="26" t="s">
        <v>57</v>
      </c>
      <c r="R106" s="26" t="s">
        <v>149</v>
      </c>
      <c r="S106" s="26" t="s">
        <v>57</v>
      </c>
      <c r="T106" s="27" t="s">
        <v>269</v>
      </c>
      <c r="U106" s="28" t="s">
        <v>56</v>
      </c>
      <c r="V106" s="29" t="str">
        <f t="shared" si="9"/>
        <v>⚠ Check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6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7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8"/>
        <v/>
      </c>
    </row>
    <row r="107" spans="1:49" ht="18" customHeight="1" x14ac:dyDescent="0.3">
      <c r="A107" s="23">
        <v>111</v>
      </c>
      <c r="B107" s="24" t="s">
        <v>270</v>
      </c>
      <c r="C107" s="25" t="s">
        <v>271</v>
      </c>
      <c r="D107" s="23" t="s">
        <v>185</v>
      </c>
      <c r="E107" s="43">
        <v>46125</v>
      </c>
      <c r="F107" s="26" t="s">
        <v>55</v>
      </c>
      <c r="G107" s="26" t="s">
        <v>56</v>
      </c>
      <c r="H107" s="26" t="s">
        <v>57</v>
      </c>
      <c r="I107" s="26" t="s">
        <v>149</v>
      </c>
      <c r="J107" s="26" t="s">
        <v>57</v>
      </c>
      <c r="K107" s="27" t="s">
        <v>150</v>
      </c>
      <c r="L107" s="28" t="s">
        <v>56</v>
      </c>
      <c r="M107" s="29" t="str">
        <f t="shared" si="5"/>
        <v>⚠ Check</v>
      </c>
      <c r="N107" s="43">
        <v>46193</v>
      </c>
      <c r="O107" s="26" t="s">
        <v>55</v>
      </c>
      <c r="P107" s="26" t="s">
        <v>57</v>
      </c>
      <c r="Q107" s="26" t="s">
        <v>56</v>
      </c>
      <c r="R107" s="26" t="s">
        <v>6225</v>
      </c>
      <c r="S107" s="26" t="s">
        <v>57</v>
      </c>
      <c r="T107" s="27"/>
      <c r="U107" s="28" t="s">
        <v>56</v>
      </c>
      <c r="V107" s="29" t="str">
        <f t="shared" si="9"/>
        <v>❌ Disc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6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7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8"/>
        <v/>
      </c>
    </row>
    <row r="108" spans="1:49" ht="18" customHeight="1" x14ac:dyDescent="0.3">
      <c r="A108" s="39">
        <v>112</v>
      </c>
      <c r="B108" s="40" t="s">
        <v>272</v>
      </c>
      <c r="C108" s="41" t="s">
        <v>273</v>
      </c>
      <c r="D108" s="39" t="s">
        <v>185</v>
      </c>
      <c r="E108" s="43">
        <v>46125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3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6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7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8"/>
        <v/>
      </c>
    </row>
    <row r="109" spans="1:49" ht="18" customHeight="1" x14ac:dyDescent="0.3">
      <c r="A109" s="23">
        <v>113</v>
      </c>
      <c r="B109" s="24" t="s">
        <v>274</v>
      </c>
      <c r="C109" s="25" t="s">
        <v>275</v>
      </c>
      <c r="D109" s="23" t="s">
        <v>185</v>
      </c>
      <c r="E109" s="43">
        <v>46125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3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6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7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8"/>
        <v/>
      </c>
    </row>
    <row r="110" spans="1:49" ht="18" customHeight="1" x14ac:dyDescent="0.3">
      <c r="A110" s="39">
        <v>114</v>
      </c>
      <c r="B110" s="40" t="s">
        <v>276</v>
      </c>
      <c r="C110" s="41" t="s">
        <v>277</v>
      </c>
      <c r="D110" s="39" t="s">
        <v>185</v>
      </c>
      <c r="E110" s="43">
        <v>46125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3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6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7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8"/>
        <v/>
      </c>
    </row>
    <row r="111" spans="1:49" ht="18" customHeight="1" x14ac:dyDescent="0.3">
      <c r="A111" s="23">
        <v>115</v>
      </c>
      <c r="B111" s="24" t="s">
        <v>278</v>
      </c>
      <c r="C111" s="25" t="s">
        <v>279</v>
      </c>
      <c r="D111" s="23" t="s">
        <v>185</v>
      </c>
      <c r="E111" s="43">
        <v>46125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3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9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6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7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8"/>
        <v/>
      </c>
    </row>
    <row r="112" spans="1:49" ht="18" customHeight="1" x14ac:dyDescent="0.3">
      <c r="A112" s="39">
        <v>116</v>
      </c>
      <c r="B112" s="40" t="s">
        <v>280</v>
      </c>
      <c r="C112" s="41" t="s">
        <v>281</v>
      </c>
      <c r="D112" s="39" t="s">
        <v>185</v>
      </c>
      <c r="E112" s="43">
        <v>46125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3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6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7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8"/>
        <v/>
      </c>
    </row>
    <row r="113" spans="1:49" ht="18" customHeight="1" x14ac:dyDescent="0.3">
      <c r="A113" s="23">
        <v>117</v>
      </c>
      <c r="B113" s="24" t="s">
        <v>282</v>
      </c>
      <c r="C113" s="25" t="s">
        <v>283</v>
      </c>
      <c r="D113" s="23" t="s">
        <v>185</v>
      </c>
      <c r="E113" s="43">
        <v>46125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 t="s">
        <v>240</v>
      </c>
      <c r="L113" s="28" t="s">
        <v>57</v>
      </c>
      <c r="M113" s="29" t="str">
        <f t="shared" si="5"/>
        <v>✓ OK</v>
      </c>
      <c r="N113" s="43">
        <v>46193</v>
      </c>
      <c r="O113" s="26" t="s">
        <v>55</v>
      </c>
      <c r="P113" s="26" t="s">
        <v>57</v>
      </c>
      <c r="Q113" s="26" t="s">
        <v>56</v>
      </c>
      <c r="R113" s="26" t="s">
        <v>6225</v>
      </c>
      <c r="S113" s="26" t="s">
        <v>57</v>
      </c>
      <c r="T113" s="27"/>
      <c r="U113" s="28" t="s">
        <v>57</v>
      </c>
      <c r="V113" s="29" t="str">
        <f t="shared" si="9"/>
        <v>❌ Disc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6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7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8"/>
        <v/>
      </c>
    </row>
    <row r="114" spans="1:49" ht="18" customHeight="1" x14ac:dyDescent="0.3">
      <c r="A114" s="39">
        <v>118</v>
      </c>
      <c r="B114" s="40" t="s">
        <v>284</v>
      </c>
      <c r="C114" s="41" t="s">
        <v>285</v>
      </c>
      <c r="D114" s="39" t="s">
        <v>185</v>
      </c>
      <c r="E114" s="43">
        <v>46125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3">
        <v>46193</v>
      </c>
      <c r="O114" s="26" t="s">
        <v>55</v>
      </c>
      <c r="P114" s="26" t="s">
        <v>57</v>
      </c>
      <c r="Q114" s="26" t="s">
        <v>56</v>
      </c>
      <c r="R114" s="26" t="s">
        <v>6225</v>
      </c>
      <c r="S114" s="26" t="s">
        <v>57</v>
      </c>
      <c r="T114" s="27"/>
      <c r="U114" s="28" t="s">
        <v>57</v>
      </c>
      <c r="V114" s="29" t="str">
        <f t="shared" si="9"/>
        <v>❌ Disc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6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7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8"/>
        <v/>
      </c>
    </row>
    <row r="115" spans="1:49" ht="18" customHeight="1" x14ac:dyDescent="0.3">
      <c r="A115" s="23">
        <v>119</v>
      </c>
      <c r="B115" s="24" t="s">
        <v>286</v>
      </c>
      <c r="C115" s="25" t="s">
        <v>287</v>
      </c>
      <c r="D115" s="23" t="s">
        <v>185</v>
      </c>
      <c r="E115" s="43">
        <v>46125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3">
        <v>46193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9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6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7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8"/>
        <v/>
      </c>
    </row>
    <row r="116" spans="1:49" ht="18" customHeight="1" x14ac:dyDescent="0.3">
      <c r="A116" s="39">
        <v>120</v>
      </c>
      <c r="B116" s="40" t="s">
        <v>288</v>
      </c>
      <c r="C116" s="41" t="s">
        <v>289</v>
      </c>
      <c r="D116" s="39" t="s">
        <v>185</v>
      </c>
      <c r="E116" s="43">
        <v>46125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3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6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7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8"/>
        <v/>
      </c>
    </row>
    <row r="117" spans="1:49" ht="18" customHeight="1" x14ac:dyDescent="0.3">
      <c r="A117" s="23">
        <v>121</v>
      </c>
      <c r="B117" s="24" t="s">
        <v>290</v>
      </c>
      <c r="C117" s="25" t="s">
        <v>291</v>
      </c>
      <c r="D117" s="23" t="s">
        <v>185</v>
      </c>
      <c r="E117" s="43">
        <v>46125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3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6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7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8"/>
        <v/>
      </c>
    </row>
    <row r="118" spans="1:49" ht="18" customHeight="1" x14ac:dyDescent="0.3">
      <c r="A118" s="39">
        <v>122</v>
      </c>
      <c r="B118" s="40" t="s">
        <v>292</v>
      </c>
      <c r="C118" s="41" t="s">
        <v>293</v>
      </c>
      <c r="D118" s="39" t="s">
        <v>185</v>
      </c>
      <c r="E118" s="43">
        <v>46125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 t="s">
        <v>240</v>
      </c>
      <c r="L118" s="28" t="s">
        <v>57</v>
      </c>
      <c r="M118" s="29" t="str">
        <f t="shared" si="5"/>
        <v>✓ OK</v>
      </c>
      <c r="N118" s="43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 t="s">
        <v>240</v>
      </c>
      <c r="U118" s="28" t="s">
        <v>57</v>
      </c>
      <c r="V118" s="29" t="str">
        <f t="shared" si="9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6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7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8"/>
        <v/>
      </c>
    </row>
    <row r="119" spans="1:49" ht="18" customHeight="1" x14ac:dyDescent="0.3">
      <c r="A119" s="23">
        <v>123</v>
      </c>
      <c r="B119" s="24" t="s">
        <v>294</v>
      </c>
      <c r="C119" s="25" t="s">
        <v>295</v>
      </c>
      <c r="D119" s="23" t="s">
        <v>185</v>
      </c>
      <c r="E119" s="43">
        <v>46125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 t="s">
        <v>240</v>
      </c>
      <c r="L119" s="28" t="s">
        <v>57</v>
      </c>
      <c r="M119" s="29" t="str">
        <f t="shared" si="5"/>
        <v>✓ OK</v>
      </c>
      <c r="N119" s="43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 t="s">
        <v>240</v>
      </c>
      <c r="U119" s="28" t="s">
        <v>57</v>
      </c>
      <c r="V119" s="29" t="str">
        <f t="shared" si="9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6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7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8"/>
        <v/>
      </c>
    </row>
    <row r="120" spans="1:49" ht="18" customHeight="1" x14ac:dyDescent="0.3">
      <c r="A120" s="39">
        <v>124</v>
      </c>
      <c r="B120" s="40" t="s">
        <v>296</v>
      </c>
      <c r="C120" s="41" t="s">
        <v>297</v>
      </c>
      <c r="D120" s="39" t="s">
        <v>185</v>
      </c>
      <c r="E120" s="43">
        <v>46125</v>
      </c>
      <c r="F120" s="26" t="s">
        <v>55</v>
      </c>
      <c r="G120" s="26" t="s">
        <v>56</v>
      </c>
      <c r="H120" s="26" t="s">
        <v>57</v>
      </c>
      <c r="I120" s="26" t="s">
        <v>149</v>
      </c>
      <c r="J120" s="26" t="s">
        <v>57</v>
      </c>
      <c r="K120" s="27" t="s">
        <v>150</v>
      </c>
      <c r="L120" s="28" t="s">
        <v>56</v>
      </c>
      <c r="M120" s="29" t="str">
        <f t="shared" si="5"/>
        <v>⚠ Check</v>
      </c>
      <c r="N120" s="43">
        <v>46193</v>
      </c>
      <c r="O120" s="26" t="s">
        <v>55</v>
      </c>
      <c r="P120" s="26" t="s">
        <v>56</v>
      </c>
      <c r="Q120" s="26" t="s">
        <v>57</v>
      </c>
      <c r="R120" s="26" t="s">
        <v>149</v>
      </c>
      <c r="S120" s="26" t="s">
        <v>57</v>
      </c>
      <c r="T120" s="27" t="s">
        <v>150</v>
      </c>
      <c r="U120" s="28" t="s">
        <v>56</v>
      </c>
      <c r="V120" s="29" t="str">
        <f t="shared" si="9"/>
        <v>⚠ Check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6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7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8"/>
        <v/>
      </c>
    </row>
    <row r="121" spans="1:49" ht="18" customHeight="1" x14ac:dyDescent="0.3">
      <c r="A121" s="23">
        <v>125</v>
      </c>
      <c r="B121" s="24" t="s">
        <v>298</v>
      </c>
      <c r="C121" s="25" t="s">
        <v>299</v>
      </c>
      <c r="D121" s="23" t="s">
        <v>185</v>
      </c>
      <c r="E121" s="43">
        <v>46125</v>
      </c>
      <c r="F121" s="26" t="s">
        <v>55</v>
      </c>
      <c r="G121" s="26" t="s">
        <v>56</v>
      </c>
      <c r="H121" s="26" t="s">
        <v>57</v>
      </c>
      <c r="I121" s="26" t="s">
        <v>149</v>
      </c>
      <c r="J121" s="26" t="s">
        <v>57</v>
      </c>
      <c r="K121" s="27" t="s">
        <v>269</v>
      </c>
      <c r="L121" s="28" t="s">
        <v>56</v>
      </c>
      <c r="M121" s="29" t="str">
        <f t="shared" si="5"/>
        <v>⚠ Check</v>
      </c>
      <c r="N121" s="43">
        <v>46193</v>
      </c>
      <c r="O121" s="26" t="s">
        <v>55</v>
      </c>
      <c r="P121" s="26" t="s">
        <v>56</v>
      </c>
      <c r="Q121" s="26" t="s">
        <v>57</v>
      </c>
      <c r="R121" s="26" t="s">
        <v>149</v>
      </c>
      <c r="S121" s="26" t="s">
        <v>57</v>
      </c>
      <c r="T121" s="27" t="s">
        <v>269</v>
      </c>
      <c r="U121" s="28" t="s">
        <v>56</v>
      </c>
      <c r="V121" s="29" t="str">
        <f t="shared" si="9"/>
        <v>⚠ Check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6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7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8"/>
        <v/>
      </c>
    </row>
    <row r="122" spans="1:49" ht="18" customHeight="1" x14ac:dyDescent="0.3">
      <c r="A122" s="39">
        <v>126</v>
      </c>
      <c r="B122" s="40" t="s">
        <v>300</v>
      </c>
      <c r="C122" s="41" t="s">
        <v>301</v>
      </c>
      <c r="D122" s="39" t="s">
        <v>185</v>
      </c>
      <c r="E122" s="43">
        <v>46125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3">
        <v>46193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9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6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7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8"/>
        <v/>
      </c>
    </row>
    <row r="123" spans="1:49" ht="18" customHeight="1" x14ac:dyDescent="0.3">
      <c r="A123" s="23">
        <v>127</v>
      </c>
      <c r="B123" s="24" t="s">
        <v>302</v>
      </c>
      <c r="C123" s="25" t="s">
        <v>303</v>
      </c>
      <c r="D123" s="23" t="s">
        <v>185</v>
      </c>
      <c r="E123" s="43">
        <v>46125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3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9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6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7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8"/>
        <v/>
      </c>
    </row>
    <row r="124" spans="1:49" ht="18" customHeight="1" x14ac:dyDescent="0.3">
      <c r="A124" s="39">
        <v>128</v>
      </c>
      <c r="B124" s="40" t="s">
        <v>304</v>
      </c>
      <c r="C124" s="41" t="s">
        <v>305</v>
      </c>
      <c r="D124" s="39" t="s">
        <v>185</v>
      </c>
      <c r="E124" s="43">
        <v>46125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3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9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6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7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8"/>
        <v/>
      </c>
    </row>
    <row r="125" spans="1:49" ht="18" customHeight="1" x14ac:dyDescent="0.3">
      <c r="A125" s="23">
        <v>129</v>
      </c>
      <c r="B125" s="24" t="s">
        <v>306</v>
      </c>
      <c r="C125" s="25" t="s">
        <v>307</v>
      </c>
      <c r="D125" s="23" t="s">
        <v>185</v>
      </c>
      <c r="E125" s="43">
        <v>46125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 t="s">
        <v>240</v>
      </c>
      <c r="L125" s="28" t="s">
        <v>57</v>
      </c>
      <c r="M125" s="29" t="str">
        <f t="shared" ref="M125:M188" si="10">IF(E125="","",IF(H125="Yes","❌ Disc",IF(G125="No","⚠ Missing",IF(J125="Yes","✓ OK","⚠ Check"))))</f>
        <v>✓ OK</v>
      </c>
      <c r="N125" s="43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 t="s">
        <v>240</v>
      </c>
      <c r="U125" s="28" t="s">
        <v>57</v>
      </c>
      <c r="V125" s="29" t="str">
        <f t="shared" si="9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ref="AE125:AE188" si="11">IF(W125="","",IF(Z125="Yes","❌ Disc",IF(Y125="No","⚠ Missing",IF(AB125="Yes","✓ OK","⚠ Check"))))</f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ref="AN125:AN188" si="12"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ref="AW125:AW188" si="13">IF(AO125="","",IF(AR125="Yes","❌ Disc",IF(AQ125="No","⚠ Missing",IF(AT125="Yes","✓ OK","⚠ Check"))))</f>
        <v/>
      </c>
    </row>
    <row r="126" spans="1:49" ht="18" customHeight="1" x14ac:dyDescent="0.3">
      <c r="A126" s="39">
        <v>130</v>
      </c>
      <c r="B126" s="40" t="s">
        <v>308</v>
      </c>
      <c r="C126" s="41" t="s">
        <v>309</v>
      </c>
      <c r="D126" s="39" t="s">
        <v>185</v>
      </c>
      <c r="E126" s="43">
        <v>46125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 t="s">
        <v>240</v>
      </c>
      <c r="L126" s="28" t="s">
        <v>57</v>
      </c>
      <c r="M126" s="29" t="str">
        <f t="shared" si="10"/>
        <v>✓ OK</v>
      </c>
      <c r="N126" s="43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 t="s">
        <v>240</v>
      </c>
      <c r="U126" s="28" t="s">
        <v>57</v>
      </c>
      <c r="V126" s="29" t="str">
        <f t="shared" si="9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1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2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3"/>
        <v/>
      </c>
    </row>
    <row r="127" spans="1:49" ht="18" customHeight="1" x14ac:dyDescent="0.3">
      <c r="A127" s="23">
        <v>131</v>
      </c>
      <c r="B127" s="24" t="s">
        <v>310</v>
      </c>
      <c r="C127" s="25" t="s">
        <v>311</v>
      </c>
      <c r="D127" s="23" t="s">
        <v>185</v>
      </c>
      <c r="E127" s="43">
        <v>46125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0"/>
        <v>✓ OK</v>
      </c>
      <c r="N127" s="43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9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1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2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3"/>
        <v/>
      </c>
    </row>
    <row r="128" spans="1:49" ht="18" customHeight="1" x14ac:dyDescent="0.3">
      <c r="A128" s="39">
        <v>132</v>
      </c>
      <c r="B128" s="40" t="s">
        <v>312</v>
      </c>
      <c r="C128" s="41" t="s">
        <v>313</v>
      </c>
      <c r="D128" s="39" t="s">
        <v>185</v>
      </c>
      <c r="E128" s="43">
        <v>46125</v>
      </c>
      <c r="F128" s="26" t="s">
        <v>55</v>
      </c>
      <c r="G128" s="26" t="s">
        <v>57</v>
      </c>
      <c r="H128" s="26" t="s">
        <v>57</v>
      </c>
      <c r="I128" s="26" t="s">
        <v>153</v>
      </c>
      <c r="J128" s="26" t="s">
        <v>57</v>
      </c>
      <c r="K128" s="27"/>
      <c r="L128" s="28" t="s">
        <v>56</v>
      </c>
      <c r="M128" s="29" t="str">
        <f t="shared" si="10"/>
        <v>⚠ Missing</v>
      </c>
      <c r="N128" s="43">
        <v>46193</v>
      </c>
      <c r="O128" s="26" t="s">
        <v>55</v>
      </c>
      <c r="P128" s="26" t="s">
        <v>57</v>
      </c>
      <c r="Q128" s="26" t="s">
        <v>57</v>
      </c>
      <c r="R128" s="26" t="s">
        <v>153</v>
      </c>
      <c r="S128" s="26" t="s">
        <v>57</v>
      </c>
      <c r="T128" s="27"/>
      <c r="U128" s="28" t="s">
        <v>56</v>
      </c>
      <c r="V128" s="29" t="str">
        <f t="shared" si="9"/>
        <v>⚠ Missing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1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2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3"/>
        <v/>
      </c>
    </row>
    <row r="129" spans="1:49" ht="18" customHeight="1" x14ac:dyDescent="0.3">
      <c r="A129" s="23">
        <v>133</v>
      </c>
      <c r="B129" s="24" t="s">
        <v>314</v>
      </c>
      <c r="C129" s="25" t="s">
        <v>315</v>
      </c>
      <c r="D129" s="23" t="s">
        <v>185</v>
      </c>
      <c r="E129" s="43">
        <v>46125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27" t="s">
        <v>158</v>
      </c>
      <c r="L129" s="28" t="s">
        <v>56</v>
      </c>
      <c r="M129" s="29" t="str">
        <f t="shared" si="10"/>
        <v>⚠ Check</v>
      </c>
      <c r="N129" s="43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57</v>
      </c>
      <c r="T129" s="27" t="s">
        <v>158</v>
      </c>
      <c r="U129" s="28" t="s">
        <v>56</v>
      </c>
      <c r="V129" s="29" t="str">
        <f t="shared" si="9"/>
        <v>⚠ Check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1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2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3"/>
        <v/>
      </c>
    </row>
    <row r="130" spans="1:49" ht="18" customHeight="1" x14ac:dyDescent="0.3">
      <c r="A130" s="39">
        <v>134</v>
      </c>
      <c r="B130" s="40" t="s">
        <v>316</v>
      </c>
      <c r="C130" s="41" t="s">
        <v>317</v>
      </c>
      <c r="D130" s="39" t="s">
        <v>185</v>
      </c>
      <c r="E130" s="43">
        <v>46125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0"/>
        <v>✓ OK</v>
      </c>
      <c r="N130" s="43">
        <v>46193</v>
      </c>
      <c r="O130" s="26" t="s">
        <v>55</v>
      </c>
      <c r="P130" s="26" t="s">
        <v>57</v>
      </c>
      <c r="Q130" s="26" t="s">
        <v>56</v>
      </c>
      <c r="R130" s="26" t="s">
        <v>6225</v>
      </c>
      <c r="S130" s="26" t="s">
        <v>57</v>
      </c>
      <c r="T130" s="27"/>
      <c r="U130" s="28" t="s">
        <v>57</v>
      </c>
      <c r="V130" s="29" t="str">
        <f t="shared" si="9"/>
        <v>❌ Disc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1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2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3"/>
        <v/>
      </c>
    </row>
    <row r="131" spans="1:49" ht="18" customHeight="1" x14ac:dyDescent="0.3">
      <c r="A131" s="23">
        <v>135</v>
      </c>
      <c r="B131" s="24" t="s">
        <v>318</v>
      </c>
      <c r="C131" s="25" t="s">
        <v>319</v>
      </c>
      <c r="D131" s="23" t="s">
        <v>185</v>
      </c>
      <c r="E131" s="43">
        <v>46125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0"/>
        <v>✓ OK</v>
      </c>
      <c r="N131" s="43">
        <v>46193</v>
      </c>
      <c r="O131" s="26" t="s">
        <v>55</v>
      </c>
      <c r="P131" s="26" t="s">
        <v>57</v>
      </c>
      <c r="Q131" s="26" t="s">
        <v>56</v>
      </c>
      <c r="R131" s="26" t="s">
        <v>6225</v>
      </c>
      <c r="S131" s="26" t="s">
        <v>57</v>
      </c>
      <c r="T131" s="27"/>
      <c r="U131" s="28" t="s">
        <v>57</v>
      </c>
      <c r="V131" s="29" t="str">
        <f t="shared" si="9"/>
        <v>❌ Disc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1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2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3"/>
        <v/>
      </c>
    </row>
    <row r="132" spans="1:49" ht="18" customHeight="1" x14ac:dyDescent="0.3">
      <c r="A132" s="39">
        <v>136</v>
      </c>
      <c r="B132" s="40" t="s">
        <v>320</v>
      </c>
      <c r="C132" s="41" t="s">
        <v>321</v>
      </c>
      <c r="D132" s="39" t="s">
        <v>185</v>
      </c>
      <c r="E132" s="43">
        <v>46125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 t="s">
        <v>240</v>
      </c>
      <c r="L132" s="28" t="s">
        <v>57</v>
      </c>
      <c r="M132" s="29" t="str">
        <f t="shared" si="10"/>
        <v>✓ OK</v>
      </c>
      <c r="N132" s="43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 t="s">
        <v>240</v>
      </c>
      <c r="U132" s="28" t="s">
        <v>57</v>
      </c>
      <c r="V132" s="29" t="str">
        <f t="shared" si="9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1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2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3"/>
        <v/>
      </c>
    </row>
    <row r="133" spans="1:49" ht="18" customHeight="1" x14ac:dyDescent="0.3">
      <c r="A133" s="23">
        <v>137</v>
      </c>
      <c r="B133" s="24" t="s">
        <v>322</v>
      </c>
      <c r="C133" s="25" t="s">
        <v>323</v>
      </c>
      <c r="D133" s="23" t="s">
        <v>185</v>
      </c>
      <c r="E133" s="43">
        <v>46125</v>
      </c>
      <c r="F133" s="26" t="s">
        <v>55</v>
      </c>
      <c r="G133" s="26" t="s">
        <v>56</v>
      </c>
      <c r="H133" s="26" t="s">
        <v>57</v>
      </c>
      <c r="I133" s="26" t="s">
        <v>149</v>
      </c>
      <c r="J133" s="26" t="s">
        <v>57</v>
      </c>
      <c r="K133" s="27" t="s">
        <v>158</v>
      </c>
      <c r="L133" s="28" t="s">
        <v>56</v>
      </c>
      <c r="M133" s="29" t="str">
        <f t="shared" si="10"/>
        <v>⚠ Check</v>
      </c>
      <c r="N133" s="43">
        <v>46193</v>
      </c>
      <c r="O133" s="26" t="s">
        <v>55</v>
      </c>
      <c r="P133" s="26" t="s">
        <v>56</v>
      </c>
      <c r="Q133" s="26" t="s">
        <v>57</v>
      </c>
      <c r="R133" s="26" t="s">
        <v>149</v>
      </c>
      <c r="S133" s="26" t="s">
        <v>57</v>
      </c>
      <c r="T133" s="27" t="s">
        <v>158</v>
      </c>
      <c r="U133" s="28" t="s">
        <v>56</v>
      </c>
      <c r="V133" s="29" t="str">
        <f t="shared" ref="V133:V196" si="14">IF(N133="","",IF(Q133="Yes","❌ Disc",IF(P133="No","⚠ Missing",IF(S133="Yes","✓ OK","⚠ Check"))))</f>
        <v>⚠ Check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si="11"/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12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13"/>
        <v/>
      </c>
    </row>
    <row r="134" spans="1:49" ht="18" customHeight="1" x14ac:dyDescent="0.3">
      <c r="A134" s="39">
        <v>138</v>
      </c>
      <c r="B134" s="40" t="s">
        <v>324</v>
      </c>
      <c r="C134" s="41" t="s">
        <v>325</v>
      </c>
      <c r="D134" s="39" t="s">
        <v>185</v>
      </c>
      <c r="E134" s="43">
        <v>46125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3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4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1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2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3"/>
        <v/>
      </c>
    </row>
    <row r="135" spans="1:49" ht="18" customHeight="1" x14ac:dyDescent="0.3">
      <c r="A135" s="23">
        <v>139</v>
      </c>
      <c r="B135" s="24" t="s">
        <v>326</v>
      </c>
      <c r="C135" s="25" t="s">
        <v>327</v>
      </c>
      <c r="D135" s="23" t="s">
        <v>185</v>
      </c>
      <c r="E135" s="43">
        <v>46125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 t="s">
        <v>240</v>
      </c>
      <c r="L135" s="28" t="s">
        <v>57</v>
      </c>
      <c r="M135" s="29" t="str">
        <f t="shared" si="10"/>
        <v>✓ OK</v>
      </c>
      <c r="N135" s="43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 t="s">
        <v>240</v>
      </c>
      <c r="U135" s="28" t="s">
        <v>57</v>
      </c>
      <c r="V135" s="29" t="str">
        <f t="shared" si="14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1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2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3"/>
        <v/>
      </c>
    </row>
    <row r="136" spans="1:49" ht="18" customHeight="1" x14ac:dyDescent="0.3">
      <c r="A136" s="39">
        <v>140</v>
      </c>
      <c r="B136" s="40" t="s">
        <v>328</v>
      </c>
      <c r="C136" s="41" t="s">
        <v>329</v>
      </c>
      <c r="D136" s="39" t="s">
        <v>185</v>
      </c>
      <c r="E136" s="43">
        <v>46125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 t="s">
        <v>240</v>
      </c>
      <c r="L136" s="28" t="s">
        <v>57</v>
      </c>
      <c r="M136" s="29" t="str">
        <f t="shared" si="10"/>
        <v>✓ OK</v>
      </c>
      <c r="N136" s="43">
        <v>46193</v>
      </c>
      <c r="O136" s="26" t="s">
        <v>55</v>
      </c>
      <c r="P136" s="26" t="s">
        <v>57</v>
      </c>
      <c r="Q136" s="26" t="s">
        <v>56</v>
      </c>
      <c r="R136" s="26" t="s">
        <v>6225</v>
      </c>
      <c r="S136" s="26" t="s">
        <v>57</v>
      </c>
      <c r="T136" s="27"/>
      <c r="U136" s="28" t="s">
        <v>57</v>
      </c>
      <c r="V136" s="29" t="str">
        <f t="shared" si="14"/>
        <v>❌ Disc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1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2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3"/>
        <v/>
      </c>
    </row>
    <row r="137" spans="1:49" ht="18" customHeight="1" x14ac:dyDescent="0.3">
      <c r="A137" s="23">
        <v>141</v>
      </c>
      <c r="B137" s="24" t="s">
        <v>330</v>
      </c>
      <c r="C137" s="25" t="s">
        <v>331</v>
      </c>
      <c r="D137" s="23" t="s">
        <v>185</v>
      </c>
      <c r="E137" s="43">
        <v>46125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3">
        <v>46193</v>
      </c>
      <c r="O137" s="26" t="s">
        <v>55</v>
      </c>
      <c r="P137" s="26" t="s">
        <v>57</v>
      </c>
      <c r="Q137" s="26" t="s">
        <v>56</v>
      </c>
      <c r="R137" s="26" t="s">
        <v>6225</v>
      </c>
      <c r="S137" s="26" t="s">
        <v>57</v>
      </c>
      <c r="T137" s="27"/>
      <c r="U137" s="28" t="s">
        <v>57</v>
      </c>
      <c r="V137" s="29" t="str">
        <f t="shared" si="14"/>
        <v>❌ Disc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1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2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3"/>
        <v/>
      </c>
    </row>
    <row r="138" spans="1:49" ht="18" customHeight="1" x14ac:dyDescent="0.3">
      <c r="A138" s="39">
        <v>142</v>
      </c>
      <c r="B138" s="40" t="s">
        <v>332</v>
      </c>
      <c r="C138" s="41" t="s">
        <v>333</v>
      </c>
      <c r="D138" s="39" t="s">
        <v>185</v>
      </c>
      <c r="E138" s="43">
        <v>46125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 t="s">
        <v>240</v>
      </c>
      <c r="L138" s="28" t="s">
        <v>57</v>
      </c>
      <c r="M138" s="29" t="str">
        <f t="shared" si="10"/>
        <v>✓ OK</v>
      </c>
      <c r="N138" s="43">
        <v>46193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 t="s">
        <v>240</v>
      </c>
      <c r="U138" s="28" t="s">
        <v>57</v>
      </c>
      <c r="V138" s="29" t="str">
        <f t="shared" si="14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1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2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3"/>
        <v/>
      </c>
    </row>
    <row r="139" spans="1:49" ht="18" customHeight="1" x14ac:dyDescent="0.3">
      <c r="A139" s="23">
        <v>143</v>
      </c>
      <c r="B139" s="24" t="s">
        <v>334</v>
      </c>
      <c r="C139" s="25" t="s">
        <v>335</v>
      </c>
      <c r="D139" s="23" t="s">
        <v>185</v>
      </c>
      <c r="E139" s="43">
        <v>46125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 t="s">
        <v>240</v>
      </c>
      <c r="L139" s="28" t="s">
        <v>57</v>
      </c>
      <c r="M139" s="29" t="str">
        <f t="shared" si="10"/>
        <v>✓ OK</v>
      </c>
      <c r="N139" s="43">
        <v>46193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 t="s">
        <v>240</v>
      </c>
      <c r="U139" s="28" t="s">
        <v>57</v>
      </c>
      <c r="V139" s="29" t="str">
        <f t="shared" si="14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1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2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3"/>
        <v/>
      </c>
    </row>
    <row r="140" spans="1:49" ht="18" customHeight="1" x14ac:dyDescent="0.3">
      <c r="A140" s="39">
        <v>144</v>
      </c>
      <c r="B140" s="40" t="s">
        <v>336</v>
      </c>
      <c r="C140" s="41" t="s">
        <v>337</v>
      </c>
      <c r="D140" s="39" t="s">
        <v>185</v>
      </c>
      <c r="E140" s="43">
        <v>46125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3">
        <v>46193</v>
      </c>
      <c r="O140" s="26" t="s">
        <v>55</v>
      </c>
      <c r="P140" s="26" t="s">
        <v>57</v>
      </c>
      <c r="Q140" s="26" t="s">
        <v>56</v>
      </c>
      <c r="R140" s="26" t="s">
        <v>6225</v>
      </c>
      <c r="S140" s="26" t="s">
        <v>57</v>
      </c>
      <c r="T140" s="27"/>
      <c r="U140" s="28" t="s">
        <v>57</v>
      </c>
      <c r="V140" s="29" t="str">
        <f t="shared" si="14"/>
        <v>❌ Disc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1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2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3"/>
        <v/>
      </c>
    </row>
    <row r="141" spans="1:49" ht="18" customHeight="1" x14ac:dyDescent="0.3">
      <c r="A141" s="23">
        <v>145</v>
      </c>
      <c r="B141" s="24" t="s">
        <v>338</v>
      </c>
      <c r="C141" s="25" t="s">
        <v>339</v>
      </c>
      <c r="D141" s="23" t="s">
        <v>185</v>
      </c>
      <c r="E141" s="43">
        <v>46125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 t="s">
        <v>240</v>
      </c>
      <c r="L141" s="28" t="s">
        <v>57</v>
      </c>
      <c r="M141" s="29" t="str">
        <f t="shared" si="10"/>
        <v>✓ OK</v>
      </c>
      <c r="N141" s="43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 t="s">
        <v>240</v>
      </c>
      <c r="U141" s="28" t="s">
        <v>57</v>
      </c>
      <c r="V141" s="29" t="str">
        <f t="shared" si="14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1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2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3"/>
        <v/>
      </c>
    </row>
    <row r="142" spans="1:49" ht="18" customHeight="1" x14ac:dyDescent="0.3">
      <c r="A142" s="39">
        <v>146</v>
      </c>
      <c r="B142" s="40" t="s">
        <v>340</v>
      </c>
      <c r="C142" s="41" t="s">
        <v>341</v>
      </c>
      <c r="D142" s="39" t="s">
        <v>185</v>
      </c>
      <c r="E142" s="43">
        <v>46125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 t="s">
        <v>240</v>
      </c>
      <c r="L142" s="28" t="s">
        <v>57</v>
      </c>
      <c r="M142" s="29" t="str">
        <f t="shared" si="10"/>
        <v>✓ OK</v>
      </c>
      <c r="N142" s="43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 t="s">
        <v>240</v>
      </c>
      <c r="U142" s="28" t="s">
        <v>57</v>
      </c>
      <c r="V142" s="29" t="str">
        <f t="shared" si="14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1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2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3"/>
        <v/>
      </c>
    </row>
    <row r="143" spans="1:49" ht="18" customHeight="1" x14ac:dyDescent="0.3">
      <c r="A143" s="23">
        <v>147</v>
      </c>
      <c r="B143" s="24" t="s">
        <v>342</v>
      </c>
      <c r="C143" s="25" t="s">
        <v>343</v>
      </c>
      <c r="D143" s="23" t="s">
        <v>185</v>
      </c>
      <c r="E143" s="43">
        <v>46125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 t="s">
        <v>240</v>
      </c>
      <c r="L143" s="28" t="s">
        <v>57</v>
      </c>
      <c r="M143" s="29" t="str">
        <f t="shared" si="10"/>
        <v>✓ OK</v>
      </c>
      <c r="N143" s="43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 t="s">
        <v>240</v>
      </c>
      <c r="U143" s="28" t="s">
        <v>57</v>
      </c>
      <c r="V143" s="29" t="str">
        <f t="shared" si="14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1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2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3"/>
        <v/>
      </c>
    </row>
    <row r="144" spans="1:49" ht="18" customHeight="1" x14ac:dyDescent="0.3">
      <c r="A144" s="39">
        <v>148</v>
      </c>
      <c r="B144" s="40" t="s">
        <v>344</v>
      </c>
      <c r="C144" s="41" t="s">
        <v>345</v>
      </c>
      <c r="D144" s="39" t="s">
        <v>185</v>
      </c>
      <c r="E144" s="43">
        <v>46125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 t="s">
        <v>240</v>
      </c>
      <c r="L144" s="28" t="s">
        <v>57</v>
      </c>
      <c r="M144" s="29" t="str">
        <f t="shared" ref="M144" si="15">IF(E144="","",IF(H144="Yes","❌ Disc",IF(G144="No","⚠ Missing",IF(J144="Yes","✓ OK","⚠ Check"))))</f>
        <v>✓ OK</v>
      </c>
      <c r="N144" s="43">
        <v>46193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 t="s">
        <v>240</v>
      </c>
      <c r="U144" s="28" t="s">
        <v>57</v>
      </c>
      <c r="V144" s="29" t="str">
        <f t="shared" si="14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1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2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3"/>
        <v/>
      </c>
    </row>
    <row r="145" spans="1:49" ht="18" customHeight="1" x14ac:dyDescent="0.3">
      <c r="A145" s="23">
        <v>149</v>
      </c>
      <c r="B145" s="24" t="s">
        <v>346</v>
      </c>
      <c r="C145" s="25" t="s">
        <v>347</v>
      </c>
      <c r="D145" s="23" t="s">
        <v>185</v>
      </c>
      <c r="E145" s="43">
        <v>46125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3">
        <v>46193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4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1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2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3"/>
        <v/>
      </c>
    </row>
    <row r="146" spans="1:49" ht="18" customHeight="1" x14ac:dyDescent="0.3">
      <c r="A146" s="39">
        <v>150</v>
      </c>
      <c r="B146" s="40" t="s">
        <v>348</v>
      </c>
      <c r="C146" s="41" t="s">
        <v>349</v>
      </c>
      <c r="D146" s="39" t="s">
        <v>185</v>
      </c>
      <c r="E146" s="43">
        <v>46125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3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4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1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2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3"/>
        <v/>
      </c>
    </row>
    <row r="147" spans="1:49" ht="18" customHeight="1" x14ac:dyDescent="0.3">
      <c r="A147" s="23">
        <v>151</v>
      </c>
      <c r="B147" s="24" t="s">
        <v>350</v>
      </c>
      <c r="C147" s="25" t="s">
        <v>351</v>
      </c>
      <c r="D147" s="23" t="s">
        <v>185</v>
      </c>
      <c r="E147" s="43">
        <v>46125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3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4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1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2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3"/>
        <v/>
      </c>
    </row>
    <row r="148" spans="1:49" ht="18" customHeight="1" x14ac:dyDescent="0.3">
      <c r="A148" s="39">
        <v>152</v>
      </c>
      <c r="B148" s="40" t="s">
        <v>352</v>
      </c>
      <c r="C148" s="41" t="s">
        <v>353</v>
      </c>
      <c r="D148" s="39" t="s">
        <v>185</v>
      </c>
      <c r="E148" s="43">
        <v>46125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3">
        <v>46193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4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1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2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3"/>
        <v/>
      </c>
    </row>
    <row r="149" spans="1:49" ht="18" customHeight="1" x14ac:dyDescent="0.3">
      <c r="A149" s="23">
        <v>153</v>
      </c>
      <c r="B149" s="24" t="s">
        <v>354</v>
      </c>
      <c r="C149" s="25" t="s">
        <v>355</v>
      </c>
      <c r="D149" s="23" t="s">
        <v>185</v>
      </c>
      <c r="E149" s="43">
        <v>46125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3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4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1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2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3"/>
        <v/>
      </c>
    </row>
    <row r="150" spans="1:49" ht="18" customHeight="1" x14ac:dyDescent="0.3">
      <c r="A150" s="39">
        <v>154</v>
      </c>
      <c r="B150" s="40" t="s">
        <v>356</v>
      </c>
      <c r="C150" s="41" t="s">
        <v>357</v>
      </c>
      <c r="D150" s="39" t="s">
        <v>185</v>
      </c>
      <c r="E150" s="43">
        <v>46125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3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4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1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2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3"/>
        <v/>
      </c>
    </row>
    <row r="151" spans="1:49" ht="18" customHeight="1" x14ac:dyDescent="0.3">
      <c r="A151" s="23">
        <v>155</v>
      </c>
      <c r="B151" s="24" t="s">
        <v>358</v>
      </c>
      <c r="C151" s="25" t="s">
        <v>359</v>
      </c>
      <c r="D151" s="23" t="s">
        <v>185</v>
      </c>
      <c r="E151" s="43">
        <v>46125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3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4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1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2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3"/>
        <v/>
      </c>
    </row>
    <row r="152" spans="1:49" ht="18" customHeight="1" x14ac:dyDescent="0.3">
      <c r="A152" s="39">
        <v>156</v>
      </c>
      <c r="B152" s="40" t="s">
        <v>360</v>
      </c>
      <c r="C152" s="41" t="s">
        <v>361</v>
      </c>
      <c r="D152" s="39" t="s">
        <v>185</v>
      </c>
      <c r="E152" s="43">
        <v>46125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3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4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1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2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3"/>
        <v/>
      </c>
    </row>
    <row r="153" spans="1:49" ht="18" customHeight="1" x14ac:dyDescent="0.3">
      <c r="A153" s="23">
        <v>157</v>
      </c>
      <c r="B153" s="24" t="s">
        <v>362</v>
      </c>
      <c r="C153" s="25" t="s">
        <v>363</v>
      </c>
      <c r="D153" s="23" t="s">
        <v>185</v>
      </c>
      <c r="E153" s="43">
        <v>46125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3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4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1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2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3"/>
        <v/>
      </c>
    </row>
    <row r="154" spans="1:49" ht="18" customHeight="1" x14ac:dyDescent="0.3">
      <c r="A154" s="39">
        <v>158</v>
      </c>
      <c r="B154" s="40" t="s">
        <v>364</v>
      </c>
      <c r="C154" s="41" t="s">
        <v>365</v>
      </c>
      <c r="D154" s="39" t="s">
        <v>185</v>
      </c>
      <c r="E154" s="43">
        <v>46125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3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4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1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2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3"/>
        <v/>
      </c>
    </row>
    <row r="155" spans="1:49" ht="18" customHeight="1" x14ac:dyDescent="0.3">
      <c r="A155" s="23">
        <v>159</v>
      </c>
      <c r="B155" s="24" t="s">
        <v>366</v>
      </c>
      <c r="C155" s="25" t="s">
        <v>367</v>
      </c>
      <c r="D155" s="23" t="s">
        <v>185</v>
      </c>
      <c r="E155" s="43">
        <v>46125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3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4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1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2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3"/>
        <v/>
      </c>
    </row>
    <row r="156" spans="1:49" ht="18" customHeight="1" x14ac:dyDescent="0.3">
      <c r="A156" s="39">
        <v>160</v>
      </c>
      <c r="B156" s="40" t="s">
        <v>368</v>
      </c>
      <c r="C156" s="41" t="s">
        <v>369</v>
      </c>
      <c r="D156" s="39" t="s">
        <v>185</v>
      </c>
      <c r="E156" s="43">
        <v>46125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3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4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1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2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3"/>
        <v/>
      </c>
    </row>
    <row r="157" spans="1:49" ht="18" customHeight="1" x14ac:dyDescent="0.3">
      <c r="A157" s="23">
        <v>161</v>
      </c>
      <c r="B157" s="24" t="s">
        <v>370</v>
      </c>
      <c r="C157" s="25" t="s">
        <v>371</v>
      </c>
      <c r="D157" s="23" t="s">
        <v>185</v>
      </c>
      <c r="E157" s="43">
        <v>46125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3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4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1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2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3"/>
        <v/>
      </c>
    </row>
    <row r="158" spans="1:49" ht="18" customHeight="1" x14ac:dyDescent="0.3">
      <c r="A158" s="39">
        <v>162</v>
      </c>
      <c r="B158" s="40" t="s">
        <v>372</v>
      </c>
      <c r="C158" s="41" t="s">
        <v>373</v>
      </c>
      <c r="D158" s="39" t="s">
        <v>185</v>
      </c>
      <c r="E158" s="43">
        <v>46125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43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4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1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2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3"/>
        <v/>
      </c>
    </row>
    <row r="159" spans="1:49" ht="18" customHeight="1" x14ac:dyDescent="0.3">
      <c r="A159" s="23">
        <v>163</v>
      </c>
      <c r="B159" s="24" t="s">
        <v>374</v>
      </c>
      <c r="C159" s="25" t="s">
        <v>375</v>
      </c>
      <c r="D159" s="23" t="s">
        <v>185</v>
      </c>
      <c r="E159" s="43">
        <v>46125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43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4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1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2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3"/>
        <v/>
      </c>
    </row>
    <row r="160" spans="1:49" ht="18" customHeight="1" x14ac:dyDescent="0.3">
      <c r="A160" s="39">
        <v>164</v>
      </c>
      <c r="B160" s="40" t="s">
        <v>376</v>
      </c>
      <c r="C160" s="41" t="s">
        <v>377</v>
      </c>
      <c r="D160" s="39" t="s">
        <v>185</v>
      </c>
      <c r="E160" s="43">
        <v>46125</v>
      </c>
      <c r="F160" s="26" t="s">
        <v>55</v>
      </c>
      <c r="G160" s="26" t="s">
        <v>56</v>
      </c>
      <c r="H160" s="26" t="s">
        <v>57</v>
      </c>
      <c r="I160" s="26" t="s">
        <v>149</v>
      </c>
      <c r="J160" s="26" t="s">
        <v>57</v>
      </c>
      <c r="K160" s="27" t="s">
        <v>158</v>
      </c>
      <c r="L160" s="28" t="s">
        <v>56</v>
      </c>
      <c r="M160" s="29" t="str">
        <f t="shared" si="10"/>
        <v>⚠ Check</v>
      </c>
      <c r="N160" s="43">
        <v>46193</v>
      </c>
      <c r="O160" s="26" t="s">
        <v>55</v>
      </c>
      <c r="P160" s="26" t="s">
        <v>56</v>
      </c>
      <c r="Q160" s="26" t="s">
        <v>57</v>
      </c>
      <c r="R160" s="26" t="s">
        <v>149</v>
      </c>
      <c r="S160" s="26" t="s">
        <v>57</v>
      </c>
      <c r="T160" s="27" t="s">
        <v>158</v>
      </c>
      <c r="U160" s="28" t="s">
        <v>56</v>
      </c>
      <c r="V160" s="29" t="str">
        <f t="shared" si="14"/>
        <v>⚠ Check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1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2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3"/>
        <v/>
      </c>
    </row>
    <row r="161" spans="1:49" ht="18" customHeight="1" x14ac:dyDescent="0.3">
      <c r="A161" s="23">
        <v>165</v>
      </c>
      <c r="B161" s="24" t="s">
        <v>378</v>
      </c>
      <c r="C161" s="25" t="s">
        <v>379</v>
      </c>
      <c r="D161" s="23" t="s">
        <v>185</v>
      </c>
      <c r="E161" s="43">
        <v>46125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3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4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1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2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3"/>
        <v/>
      </c>
    </row>
    <row r="162" spans="1:49" ht="18" customHeight="1" x14ac:dyDescent="0.3">
      <c r="A162" s="39">
        <v>166</v>
      </c>
      <c r="B162" s="40" t="s">
        <v>380</v>
      </c>
      <c r="C162" s="41" t="s">
        <v>381</v>
      </c>
      <c r="D162" s="39" t="s">
        <v>185</v>
      </c>
      <c r="E162" s="43">
        <v>46125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3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4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1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2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3"/>
        <v/>
      </c>
    </row>
    <row r="163" spans="1:49" ht="18" customHeight="1" x14ac:dyDescent="0.3">
      <c r="A163" s="23">
        <v>167</v>
      </c>
      <c r="B163" s="24" t="s">
        <v>382</v>
      </c>
      <c r="C163" s="25" t="s">
        <v>383</v>
      </c>
      <c r="D163" s="23" t="s">
        <v>185</v>
      </c>
      <c r="E163" s="43">
        <v>46125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3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4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1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2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3"/>
        <v/>
      </c>
    </row>
    <row r="164" spans="1:49" ht="18" customHeight="1" x14ac:dyDescent="0.3">
      <c r="A164" s="39">
        <v>168</v>
      </c>
      <c r="B164" s="40" t="s">
        <v>384</v>
      </c>
      <c r="C164" s="41" t="s">
        <v>385</v>
      </c>
      <c r="D164" s="39" t="s">
        <v>185</v>
      </c>
      <c r="E164" s="43">
        <v>46125</v>
      </c>
      <c r="F164" s="26" t="s">
        <v>55</v>
      </c>
      <c r="G164" s="26" t="s">
        <v>56</v>
      </c>
      <c r="H164" s="26" t="s">
        <v>57</v>
      </c>
      <c r="I164" s="26" t="s">
        <v>149</v>
      </c>
      <c r="J164" s="26" t="s">
        <v>57</v>
      </c>
      <c r="K164" s="27" t="s">
        <v>158</v>
      </c>
      <c r="L164" s="28" t="s">
        <v>56</v>
      </c>
      <c r="M164" s="29" t="str">
        <f t="shared" si="10"/>
        <v>⚠ Check</v>
      </c>
      <c r="N164" s="43">
        <v>46193</v>
      </c>
      <c r="O164" s="26" t="s">
        <v>55</v>
      </c>
      <c r="P164" s="26" t="s">
        <v>56</v>
      </c>
      <c r="Q164" s="26" t="s">
        <v>57</v>
      </c>
      <c r="R164" s="26" t="s">
        <v>149</v>
      </c>
      <c r="S164" s="26" t="s">
        <v>57</v>
      </c>
      <c r="T164" s="27" t="s">
        <v>158</v>
      </c>
      <c r="U164" s="28" t="s">
        <v>56</v>
      </c>
      <c r="V164" s="29" t="str">
        <f t="shared" si="14"/>
        <v>⚠ Check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1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2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3"/>
        <v/>
      </c>
    </row>
    <row r="165" spans="1:49" ht="18" customHeight="1" x14ac:dyDescent="0.3">
      <c r="A165" s="23">
        <v>169</v>
      </c>
      <c r="B165" s="24" t="s">
        <v>386</v>
      </c>
      <c r="C165" s="25" t="s">
        <v>387</v>
      </c>
      <c r="D165" s="23" t="s">
        <v>185</v>
      </c>
      <c r="E165" s="43">
        <v>46125</v>
      </c>
      <c r="F165" s="26" t="s">
        <v>55</v>
      </c>
      <c r="G165" s="26" t="s">
        <v>56</v>
      </c>
      <c r="H165" s="26" t="s">
        <v>57</v>
      </c>
      <c r="I165" s="26" t="s">
        <v>149</v>
      </c>
      <c r="J165" s="26" t="s">
        <v>57</v>
      </c>
      <c r="K165" s="27" t="s">
        <v>158</v>
      </c>
      <c r="L165" s="28" t="s">
        <v>56</v>
      </c>
      <c r="M165" s="29" t="str">
        <f t="shared" si="10"/>
        <v>⚠ Check</v>
      </c>
      <c r="N165" s="43">
        <v>46193</v>
      </c>
      <c r="O165" s="26" t="s">
        <v>55</v>
      </c>
      <c r="P165" s="26" t="s">
        <v>56</v>
      </c>
      <c r="Q165" s="26" t="s">
        <v>57</v>
      </c>
      <c r="R165" s="26" t="s">
        <v>149</v>
      </c>
      <c r="S165" s="26" t="s">
        <v>57</v>
      </c>
      <c r="T165" s="27" t="s">
        <v>158</v>
      </c>
      <c r="U165" s="28" t="s">
        <v>56</v>
      </c>
      <c r="V165" s="29" t="str">
        <f t="shared" si="14"/>
        <v>⚠ Check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1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2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3"/>
        <v/>
      </c>
    </row>
    <row r="166" spans="1:49" ht="18" customHeight="1" x14ac:dyDescent="0.3">
      <c r="A166" s="39">
        <v>170</v>
      </c>
      <c r="B166" s="40" t="s">
        <v>388</v>
      </c>
      <c r="C166" s="41" t="s">
        <v>389</v>
      </c>
      <c r="D166" s="39" t="s">
        <v>185</v>
      </c>
      <c r="E166" s="43">
        <v>46125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3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4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1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2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3"/>
        <v/>
      </c>
    </row>
    <row r="167" spans="1:49" ht="18" customHeight="1" x14ac:dyDescent="0.3">
      <c r="A167" s="23">
        <v>171</v>
      </c>
      <c r="B167" s="24" t="s">
        <v>390</v>
      </c>
      <c r="C167" s="25" t="s">
        <v>391</v>
      </c>
      <c r="D167" s="23" t="s">
        <v>185</v>
      </c>
      <c r="E167" s="43">
        <v>46125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3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4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1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2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3"/>
        <v/>
      </c>
    </row>
    <row r="168" spans="1:49" ht="18" customHeight="1" x14ac:dyDescent="0.3">
      <c r="A168" s="39">
        <v>172</v>
      </c>
      <c r="B168" s="40" t="s">
        <v>392</v>
      </c>
      <c r="C168" s="41" t="s">
        <v>393</v>
      </c>
      <c r="D168" s="39" t="s">
        <v>185</v>
      </c>
      <c r="E168" s="43">
        <v>46125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3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4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1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2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3"/>
        <v/>
      </c>
    </row>
    <row r="169" spans="1:49" ht="18" customHeight="1" x14ac:dyDescent="0.3">
      <c r="A169" s="23">
        <v>173</v>
      </c>
      <c r="B169" s="24" t="s">
        <v>394</v>
      </c>
      <c r="C169" s="25" t="s">
        <v>395</v>
      </c>
      <c r="D169" s="23" t="s">
        <v>185</v>
      </c>
      <c r="E169" s="43">
        <v>46125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3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4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1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2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3"/>
        <v/>
      </c>
    </row>
    <row r="170" spans="1:49" ht="18" customHeight="1" x14ac:dyDescent="0.3">
      <c r="A170" s="39">
        <v>174</v>
      </c>
      <c r="B170" s="40" t="s">
        <v>396</v>
      </c>
      <c r="C170" s="41" t="s">
        <v>397</v>
      </c>
      <c r="D170" s="39" t="s">
        <v>185</v>
      </c>
      <c r="E170" s="43">
        <v>46125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3">
        <v>46193</v>
      </c>
      <c r="O170" s="26" t="s">
        <v>55</v>
      </c>
      <c r="P170" s="26" t="s">
        <v>57</v>
      </c>
      <c r="Q170" s="26" t="s">
        <v>56</v>
      </c>
      <c r="R170" s="26" t="s">
        <v>6225</v>
      </c>
      <c r="S170" s="26" t="s">
        <v>57</v>
      </c>
      <c r="T170" s="27"/>
      <c r="U170" s="28" t="s">
        <v>57</v>
      </c>
      <c r="V170" s="29" t="str">
        <f t="shared" si="14"/>
        <v>❌ Disc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1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2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3"/>
        <v/>
      </c>
    </row>
    <row r="171" spans="1:49" ht="18" customHeight="1" x14ac:dyDescent="0.3">
      <c r="A171" s="23">
        <v>175</v>
      </c>
      <c r="B171" s="24" t="s">
        <v>398</v>
      </c>
      <c r="C171" s="25" t="s">
        <v>399</v>
      </c>
      <c r="D171" s="23" t="s">
        <v>185</v>
      </c>
      <c r="E171" s="43">
        <v>46125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 t="s">
        <v>240</v>
      </c>
      <c r="L171" s="28" t="s">
        <v>57</v>
      </c>
      <c r="M171" s="29" t="str">
        <f t="shared" si="10"/>
        <v>✓ OK</v>
      </c>
      <c r="N171" s="43">
        <v>46193</v>
      </c>
      <c r="O171" s="26" t="s">
        <v>55</v>
      </c>
      <c r="P171" s="26" t="s">
        <v>57</v>
      </c>
      <c r="Q171" s="26" t="s">
        <v>56</v>
      </c>
      <c r="R171" s="26" t="s">
        <v>6225</v>
      </c>
      <c r="S171" s="26" t="s">
        <v>57</v>
      </c>
      <c r="T171" s="27"/>
      <c r="U171" s="28" t="s">
        <v>57</v>
      </c>
      <c r="V171" s="29" t="str">
        <f t="shared" si="14"/>
        <v>❌ Disc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1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2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3"/>
        <v/>
      </c>
    </row>
    <row r="172" spans="1:49" ht="18" customHeight="1" x14ac:dyDescent="0.3">
      <c r="A172" s="39">
        <v>176</v>
      </c>
      <c r="B172" s="40" t="s">
        <v>400</v>
      </c>
      <c r="C172" s="41" t="s">
        <v>401</v>
      </c>
      <c r="D172" s="39" t="s">
        <v>185</v>
      </c>
      <c r="E172" s="43">
        <v>46125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 t="s">
        <v>240</v>
      </c>
      <c r="L172" s="28" t="s">
        <v>57</v>
      </c>
      <c r="M172" s="29" t="str">
        <f t="shared" si="10"/>
        <v>✓ OK</v>
      </c>
      <c r="N172" s="43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 t="s">
        <v>240</v>
      </c>
      <c r="U172" s="28" t="s">
        <v>57</v>
      </c>
      <c r="V172" s="29" t="str">
        <f t="shared" si="14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1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2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3"/>
        <v/>
      </c>
    </row>
    <row r="173" spans="1:49" ht="18" customHeight="1" x14ac:dyDescent="0.3">
      <c r="A173" s="23">
        <v>177</v>
      </c>
      <c r="B173" s="24" t="s">
        <v>402</v>
      </c>
      <c r="C173" s="25" t="s">
        <v>403</v>
      </c>
      <c r="D173" s="23" t="s">
        <v>185</v>
      </c>
      <c r="E173" s="43">
        <v>46125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3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4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1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2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3"/>
        <v/>
      </c>
    </row>
    <row r="174" spans="1:49" ht="18" customHeight="1" x14ac:dyDescent="0.3">
      <c r="A174" s="39">
        <v>178</v>
      </c>
      <c r="B174" s="40" t="s">
        <v>404</v>
      </c>
      <c r="C174" s="41" t="s">
        <v>405</v>
      </c>
      <c r="D174" s="39" t="s">
        <v>185</v>
      </c>
      <c r="E174" s="43">
        <v>46125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 t="s">
        <v>240</v>
      </c>
      <c r="L174" s="28" t="s">
        <v>57</v>
      </c>
      <c r="M174" s="29" t="str">
        <f t="shared" si="10"/>
        <v>✓ OK</v>
      </c>
      <c r="N174" s="43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 t="s">
        <v>240</v>
      </c>
      <c r="U174" s="28" t="s">
        <v>57</v>
      </c>
      <c r="V174" s="29" t="str">
        <f t="shared" si="14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1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2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3"/>
        <v/>
      </c>
    </row>
    <row r="175" spans="1:49" ht="18" customHeight="1" x14ac:dyDescent="0.3">
      <c r="A175" s="23">
        <v>179</v>
      </c>
      <c r="B175" s="24" t="s">
        <v>406</v>
      </c>
      <c r="C175" s="25" t="s">
        <v>407</v>
      </c>
      <c r="D175" s="23" t="s">
        <v>185</v>
      </c>
      <c r="E175" s="43">
        <v>46125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3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4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1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2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3"/>
        <v/>
      </c>
    </row>
    <row r="176" spans="1:49" ht="18" customHeight="1" x14ac:dyDescent="0.3">
      <c r="A176" s="39">
        <v>180</v>
      </c>
      <c r="B176" s="40" t="s">
        <v>408</v>
      </c>
      <c r="C176" s="41" t="s">
        <v>409</v>
      </c>
      <c r="D176" s="39" t="s">
        <v>185</v>
      </c>
      <c r="E176" s="43">
        <v>46125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 t="s">
        <v>240</v>
      </c>
      <c r="L176" s="28" t="s">
        <v>57</v>
      </c>
      <c r="M176" s="29" t="str">
        <f t="shared" si="10"/>
        <v>✓ OK</v>
      </c>
      <c r="N176" s="43">
        <v>46193</v>
      </c>
      <c r="O176" s="26" t="s">
        <v>55</v>
      </c>
      <c r="P176" s="26" t="s">
        <v>57</v>
      </c>
      <c r="Q176" s="26" t="s">
        <v>56</v>
      </c>
      <c r="R176" s="26" t="s">
        <v>6225</v>
      </c>
      <c r="S176" s="26" t="s">
        <v>57</v>
      </c>
      <c r="T176" s="27"/>
      <c r="U176" s="28" t="s">
        <v>57</v>
      </c>
      <c r="V176" s="29" t="str">
        <f t="shared" si="14"/>
        <v>❌ Disc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1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2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3"/>
        <v/>
      </c>
    </row>
    <row r="177" spans="1:49" ht="18" customHeight="1" x14ac:dyDescent="0.3">
      <c r="A177" s="23">
        <v>181</v>
      </c>
      <c r="B177" s="24" t="s">
        <v>410</v>
      </c>
      <c r="C177" s="25" t="s">
        <v>411</v>
      </c>
      <c r="D177" s="23" t="s">
        <v>185</v>
      </c>
      <c r="E177" s="43">
        <v>46125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3">
        <v>46193</v>
      </c>
      <c r="O177" s="26" t="s">
        <v>55</v>
      </c>
      <c r="P177" s="26" t="s">
        <v>57</v>
      </c>
      <c r="Q177" s="26" t="s">
        <v>56</v>
      </c>
      <c r="R177" s="26" t="s">
        <v>6225</v>
      </c>
      <c r="S177" s="26" t="s">
        <v>57</v>
      </c>
      <c r="T177" s="27"/>
      <c r="U177" s="28" t="s">
        <v>57</v>
      </c>
      <c r="V177" s="29" t="str">
        <f t="shared" si="14"/>
        <v>❌ Disc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1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2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3"/>
        <v/>
      </c>
    </row>
    <row r="178" spans="1:49" ht="18" customHeight="1" x14ac:dyDescent="0.3">
      <c r="A178" s="39">
        <v>182</v>
      </c>
      <c r="B178" s="40" t="s">
        <v>412</v>
      </c>
      <c r="C178" s="41" t="s">
        <v>413</v>
      </c>
      <c r="D178" s="39" t="s">
        <v>185</v>
      </c>
      <c r="E178" s="43">
        <v>46125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3">
        <v>46193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4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1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2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3"/>
        <v/>
      </c>
    </row>
    <row r="179" spans="1:49" ht="18" customHeight="1" x14ac:dyDescent="0.3">
      <c r="A179" s="23">
        <v>183</v>
      </c>
      <c r="B179" s="24" t="s">
        <v>414</v>
      </c>
      <c r="C179" s="25" t="s">
        <v>415</v>
      </c>
      <c r="D179" s="23" t="s">
        <v>185</v>
      </c>
      <c r="E179" s="43">
        <v>46125</v>
      </c>
      <c r="F179" s="26" t="s">
        <v>55</v>
      </c>
      <c r="G179" s="26" t="s">
        <v>56</v>
      </c>
      <c r="H179" s="26" t="s">
        <v>57</v>
      </c>
      <c r="I179" s="26" t="s">
        <v>149</v>
      </c>
      <c r="J179" s="26" t="s">
        <v>57</v>
      </c>
      <c r="K179" s="27" t="s">
        <v>158</v>
      </c>
      <c r="L179" s="28" t="s">
        <v>56</v>
      </c>
      <c r="M179" s="29" t="str">
        <f t="shared" si="10"/>
        <v>⚠ Check</v>
      </c>
      <c r="N179" s="43">
        <v>46193</v>
      </c>
      <c r="O179" s="26" t="s">
        <v>55</v>
      </c>
      <c r="P179" s="26" t="s">
        <v>56</v>
      </c>
      <c r="Q179" s="26" t="s">
        <v>57</v>
      </c>
      <c r="R179" s="26" t="s">
        <v>149</v>
      </c>
      <c r="S179" s="26" t="s">
        <v>57</v>
      </c>
      <c r="T179" s="27" t="s">
        <v>158</v>
      </c>
      <c r="U179" s="28" t="s">
        <v>56</v>
      </c>
      <c r="V179" s="29" t="str">
        <f t="shared" si="14"/>
        <v>⚠ Check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1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2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3"/>
        <v/>
      </c>
    </row>
    <row r="180" spans="1:49" ht="18" customHeight="1" x14ac:dyDescent="0.3">
      <c r="A180" s="39">
        <v>184</v>
      </c>
      <c r="B180" s="40" t="s">
        <v>416</v>
      </c>
      <c r="C180" s="41" t="s">
        <v>417</v>
      </c>
      <c r="D180" s="39" t="s">
        <v>185</v>
      </c>
      <c r="E180" s="43">
        <v>46125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3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4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1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2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3"/>
        <v/>
      </c>
    </row>
    <row r="181" spans="1:49" ht="18" customHeight="1" x14ac:dyDescent="0.3">
      <c r="A181" s="23">
        <v>185</v>
      </c>
      <c r="B181" s="24" t="s">
        <v>418</v>
      </c>
      <c r="C181" s="25" t="s">
        <v>419</v>
      </c>
      <c r="D181" s="23" t="s">
        <v>185</v>
      </c>
      <c r="E181" s="43">
        <v>46125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3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4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1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2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3"/>
        <v/>
      </c>
    </row>
    <row r="182" spans="1:49" ht="18" customHeight="1" x14ac:dyDescent="0.3">
      <c r="A182" s="39">
        <v>186</v>
      </c>
      <c r="B182" s="40" t="s">
        <v>420</v>
      </c>
      <c r="C182" s="41" t="s">
        <v>421</v>
      </c>
      <c r="D182" s="39" t="s">
        <v>185</v>
      </c>
      <c r="E182" s="43">
        <v>46125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3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4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1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2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3"/>
        <v/>
      </c>
    </row>
    <row r="183" spans="1:49" ht="18" customHeight="1" x14ac:dyDescent="0.3">
      <c r="A183" s="23">
        <v>187</v>
      </c>
      <c r="B183" s="24" t="s">
        <v>422</v>
      </c>
      <c r="C183" s="25" t="s">
        <v>423</v>
      </c>
      <c r="D183" s="23" t="s">
        <v>185</v>
      </c>
      <c r="E183" s="43">
        <v>46125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 t="s">
        <v>240</v>
      </c>
      <c r="L183" s="28" t="s">
        <v>57</v>
      </c>
      <c r="M183" s="29" t="str">
        <f t="shared" si="10"/>
        <v>✓ OK</v>
      </c>
      <c r="N183" s="43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 t="s">
        <v>240</v>
      </c>
      <c r="U183" s="28" t="s">
        <v>57</v>
      </c>
      <c r="V183" s="29" t="str">
        <f t="shared" si="14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1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2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3"/>
        <v/>
      </c>
    </row>
    <row r="184" spans="1:49" ht="18" customHeight="1" x14ac:dyDescent="0.3">
      <c r="A184" s="39">
        <v>188</v>
      </c>
      <c r="B184" s="40" t="s">
        <v>424</v>
      </c>
      <c r="C184" s="41" t="s">
        <v>425</v>
      </c>
      <c r="D184" s="39" t="s">
        <v>185</v>
      </c>
      <c r="E184" s="43">
        <v>46125</v>
      </c>
      <c r="F184" s="26" t="s">
        <v>55</v>
      </c>
      <c r="G184" s="26" t="s">
        <v>56</v>
      </c>
      <c r="H184" s="26" t="s">
        <v>57</v>
      </c>
      <c r="I184" s="26" t="s">
        <v>149</v>
      </c>
      <c r="J184" s="26" t="s">
        <v>57</v>
      </c>
      <c r="K184" s="27" t="s">
        <v>150</v>
      </c>
      <c r="L184" s="28" t="s">
        <v>56</v>
      </c>
      <c r="M184" s="29" t="str">
        <f t="shared" si="10"/>
        <v>⚠ Check</v>
      </c>
      <c r="N184" s="43">
        <v>46193</v>
      </c>
      <c r="O184" s="26" t="s">
        <v>55</v>
      </c>
      <c r="P184" s="26" t="s">
        <v>56</v>
      </c>
      <c r="Q184" s="26" t="s">
        <v>57</v>
      </c>
      <c r="R184" s="26" t="s">
        <v>149</v>
      </c>
      <c r="S184" s="26" t="s">
        <v>57</v>
      </c>
      <c r="T184" s="27" t="s">
        <v>150</v>
      </c>
      <c r="U184" s="28" t="s">
        <v>56</v>
      </c>
      <c r="V184" s="29" t="str">
        <f t="shared" si="14"/>
        <v>⚠ Check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1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2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3"/>
        <v/>
      </c>
    </row>
    <row r="185" spans="1:49" ht="18" customHeight="1" x14ac:dyDescent="0.3">
      <c r="A185" s="23">
        <v>189</v>
      </c>
      <c r="B185" s="24" t="s">
        <v>426</v>
      </c>
      <c r="C185" s="25" t="s">
        <v>427</v>
      </c>
      <c r="D185" s="23" t="s">
        <v>185</v>
      </c>
      <c r="E185" s="43">
        <v>46125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 t="s">
        <v>240</v>
      </c>
      <c r="L185" s="28" t="s">
        <v>57</v>
      </c>
      <c r="M185" s="29" t="str">
        <f t="shared" si="10"/>
        <v>✓ OK</v>
      </c>
      <c r="N185" s="43">
        <v>46193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 t="s">
        <v>240</v>
      </c>
      <c r="U185" s="28" t="s">
        <v>57</v>
      </c>
      <c r="V185" s="29" t="str">
        <f t="shared" si="14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1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2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3"/>
        <v/>
      </c>
    </row>
    <row r="186" spans="1:49" ht="18" customHeight="1" x14ac:dyDescent="0.3">
      <c r="A186" s="39">
        <v>190</v>
      </c>
      <c r="B186" s="40" t="s">
        <v>428</v>
      </c>
      <c r="C186" s="41" t="s">
        <v>429</v>
      </c>
      <c r="D186" s="39" t="s">
        <v>185</v>
      </c>
      <c r="E186" s="43">
        <v>46125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3">
        <v>46193</v>
      </c>
      <c r="O186" s="26" t="s">
        <v>55</v>
      </c>
      <c r="P186" s="26" t="s">
        <v>57</v>
      </c>
      <c r="Q186" s="26" t="s">
        <v>56</v>
      </c>
      <c r="R186" s="26" t="s">
        <v>6225</v>
      </c>
      <c r="S186" s="26" t="s">
        <v>57</v>
      </c>
      <c r="T186" s="27"/>
      <c r="U186" s="28" t="s">
        <v>57</v>
      </c>
      <c r="V186" s="29" t="str">
        <f t="shared" si="14"/>
        <v>❌ Disc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1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2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3"/>
        <v/>
      </c>
    </row>
    <row r="187" spans="1:49" ht="18" customHeight="1" x14ac:dyDescent="0.3">
      <c r="A187" s="23">
        <v>191</v>
      </c>
      <c r="B187" s="24" t="s">
        <v>430</v>
      </c>
      <c r="C187" s="25" t="s">
        <v>431</v>
      </c>
      <c r="D187" s="23" t="s">
        <v>185</v>
      </c>
      <c r="E187" s="43">
        <v>46125</v>
      </c>
      <c r="F187" s="26" t="s">
        <v>55</v>
      </c>
      <c r="G187" s="26" t="s">
        <v>56</v>
      </c>
      <c r="H187" s="26" t="s">
        <v>57</v>
      </c>
      <c r="I187" s="26" t="s">
        <v>149</v>
      </c>
      <c r="J187" s="26" t="s">
        <v>57</v>
      </c>
      <c r="K187" s="27" t="s">
        <v>150</v>
      </c>
      <c r="L187" s="28" t="s">
        <v>56</v>
      </c>
      <c r="M187" s="29" t="str">
        <f t="shared" si="10"/>
        <v>⚠ Check</v>
      </c>
      <c r="N187" s="43">
        <v>46193</v>
      </c>
      <c r="O187" s="26" t="s">
        <v>55</v>
      </c>
      <c r="P187" s="26" t="s">
        <v>56</v>
      </c>
      <c r="Q187" s="26" t="s">
        <v>57</v>
      </c>
      <c r="R187" s="26" t="s">
        <v>149</v>
      </c>
      <c r="S187" s="26" t="s">
        <v>57</v>
      </c>
      <c r="T187" s="27" t="s">
        <v>150</v>
      </c>
      <c r="U187" s="28" t="s">
        <v>56</v>
      </c>
      <c r="V187" s="29" t="str">
        <f t="shared" si="14"/>
        <v>⚠ Check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1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2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3"/>
        <v/>
      </c>
    </row>
    <row r="188" spans="1:49" ht="18" customHeight="1" x14ac:dyDescent="0.3">
      <c r="A188" s="39">
        <v>192</v>
      </c>
      <c r="B188" s="40" t="s">
        <v>432</v>
      </c>
      <c r="C188" s="41" t="s">
        <v>433</v>
      </c>
      <c r="D188" s="39" t="s">
        <v>185</v>
      </c>
      <c r="E188" s="43">
        <v>46125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 t="s">
        <v>240</v>
      </c>
      <c r="L188" s="28" t="s">
        <v>57</v>
      </c>
      <c r="M188" s="29" t="str">
        <f t="shared" si="10"/>
        <v>✓ OK</v>
      </c>
      <c r="N188" s="43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 t="s">
        <v>240</v>
      </c>
      <c r="U188" s="28" t="s">
        <v>57</v>
      </c>
      <c r="V188" s="29" t="str">
        <f t="shared" si="14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1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2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3"/>
        <v/>
      </c>
    </row>
    <row r="189" spans="1:49" ht="18" customHeight="1" x14ac:dyDescent="0.3">
      <c r="A189" s="23">
        <v>193</v>
      </c>
      <c r="B189" s="24" t="s">
        <v>434</v>
      </c>
      <c r="C189" s="25" t="s">
        <v>435</v>
      </c>
      <c r="D189" s="23" t="s">
        <v>185</v>
      </c>
      <c r="E189" s="43">
        <v>46125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 t="s">
        <v>240</v>
      </c>
      <c r="L189" s="28" t="s">
        <v>57</v>
      </c>
      <c r="M189" s="29" t="str">
        <f t="shared" ref="M189:M252" si="16">IF(E189="","",IF(H189="Yes","❌ Disc",IF(G189="No","⚠ Missing",IF(J189="Yes","✓ OK","⚠ Check"))))</f>
        <v>✓ OK</v>
      </c>
      <c r="N189" s="43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 t="s">
        <v>240</v>
      </c>
      <c r="U189" s="28" t="s">
        <v>57</v>
      </c>
      <c r="V189" s="29" t="str">
        <f t="shared" si="14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ref="AE189:AE252" si="17">IF(W189="","",IF(Z189="Yes","❌ Disc",IF(Y189="No","⚠ Missing",IF(AB189="Yes","✓ OK","⚠ Check"))))</f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ref="AN189:AN252" si="18"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ref="AW189:AW252" si="19">IF(AO189="","",IF(AR189="Yes","❌ Disc",IF(AQ189="No","⚠ Missing",IF(AT189="Yes","✓ OK","⚠ Check"))))</f>
        <v/>
      </c>
    </row>
    <row r="190" spans="1:49" ht="18" customHeight="1" x14ac:dyDescent="0.3">
      <c r="A190" s="39">
        <v>194</v>
      </c>
      <c r="B190" s="40" t="s">
        <v>436</v>
      </c>
      <c r="C190" s="41" t="s">
        <v>437</v>
      </c>
      <c r="D190" s="39" t="s">
        <v>185</v>
      </c>
      <c r="E190" s="43">
        <v>46125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6"/>
        <v>✓ OK</v>
      </c>
      <c r="N190" s="43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4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7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8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9"/>
        <v/>
      </c>
    </row>
    <row r="191" spans="1:49" ht="18" customHeight="1" x14ac:dyDescent="0.3">
      <c r="A191" s="23">
        <v>195</v>
      </c>
      <c r="B191" s="24" t="s">
        <v>438</v>
      </c>
      <c r="C191" s="25" t="s">
        <v>439</v>
      </c>
      <c r="D191" s="23" t="s">
        <v>185</v>
      </c>
      <c r="E191" s="43">
        <v>46125</v>
      </c>
      <c r="F191" s="26" t="s">
        <v>55</v>
      </c>
      <c r="G191" s="26" t="s">
        <v>56</v>
      </c>
      <c r="H191" s="26" t="s">
        <v>57</v>
      </c>
      <c r="I191" s="26" t="s">
        <v>149</v>
      </c>
      <c r="J191" s="26" t="s">
        <v>57</v>
      </c>
      <c r="K191" s="27" t="s">
        <v>158</v>
      </c>
      <c r="L191" s="28" t="s">
        <v>56</v>
      </c>
      <c r="M191" s="29" t="str">
        <f t="shared" si="16"/>
        <v>⚠ Check</v>
      </c>
      <c r="N191" s="43">
        <v>46193</v>
      </c>
      <c r="O191" s="26" t="s">
        <v>55</v>
      </c>
      <c r="P191" s="26" t="s">
        <v>56</v>
      </c>
      <c r="Q191" s="26" t="s">
        <v>57</v>
      </c>
      <c r="R191" s="26" t="s">
        <v>149</v>
      </c>
      <c r="S191" s="26" t="s">
        <v>57</v>
      </c>
      <c r="T191" s="27" t="s">
        <v>158</v>
      </c>
      <c r="U191" s="28" t="s">
        <v>56</v>
      </c>
      <c r="V191" s="29" t="str">
        <f t="shared" si="14"/>
        <v>⚠ Check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7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8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9"/>
        <v/>
      </c>
    </row>
    <row r="192" spans="1:49" ht="18" customHeight="1" x14ac:dyDescent="0.3">
      <c r="A192" s="39">
        <v>196</v>
      </c>
      <c r="B192" s="40" t="s">
        <v>440</v>
      </c>
      <c r="C192" s="41" t="s">
        <v>441</v>
      </c>
      <c r="D192" s="39" t="s">
        <v>185</v>
      </c>
      <c r="E192" s="43">
        <v>46125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6"/>
        <v>✓ OK</v>
      </c>
      <c r="N192" s="43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4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7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8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9"/>
        <v/>
      </c>
    </row>
    <row r="193" spans="1:49" ht="18" customHeight="1" x14ac:dyDescent="0.3">
      <c r="A193" s="23">
        <v>197</v>
      </c>
      <c r="B193" s="24" t="s">
        <v>442</v>
      </c>
      <c r="C193" s="25" t="s">
        <v>443</v>
      </c>
      <c r="D193" s="23" t="s">
        <v>185</v>
      </c>
      <c r="E193" s="43">
        <v>46125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6"/>
        <v>✓ OK</v>
      </c>
      <c r="N193" s="43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4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7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8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9"/>
        <v/>
      </c>
    </row>
    <row r="194" spans="1:49" ht="18" customHeight="1" x14ac:dyDescent="0.3">
      <c r="A194" s="39">
        <v>198</v>
      </c>
      <c r="B194" s="40" t="s">
        <v>444</v>
      </c>
      <c r="C194" s="41" t="s">
        <v>445</v>
      </c>
      <c r="D194" s="39" t="s">
        <v>185</v>
      </c>
      <c r="E194" s="43">
        <v>46125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6"/>
        <v>✓ OK</v>
      </c>
      <c r="N194" s="43">
        <v>46193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4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7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8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9"/>
        <v/>
      </c>
    </row>
    <row r="195" spans="1:49" ht="18" customHeight="1" x14ac:dyDescent="0.3">
      <c r="A195" s="23">
        <v>199</v>
      </c>
      <c r="B195" s="24" t="s">
        <v>446</v>
      </c>
      <c r="C195" s="25" t="s">
        <v>447</v>
      </c>
      <c r="D195" s="23" t="s">
        <v>185</v>
      </c>
      <c r="E195" s="43">
        <v>46125</v>
      </c>
      <c r="F195" s="26" t="s">
        <v>55</v>
      </c>
      <c r="G195" s="26" t="s">
        <v>56</v>
      </c>
      <c r="H195" s="26" t="s">
        <v>57</v>
      </c>
      <c r="I195" s="26" t="s">
        <v>149</v>
      </c>
      <c r="J195" s="26" t="s">
        <v>57</v>
      </c>
      <c r="K195" s="27" t="s">
        <v>158</v>
      </c>
      <c r="L195" s="28" t="s">
        <v>56</v>
      </c>
      <c r="M195" s="29" t="str">
        <f t="shared" si="16"/>
        <v>⚠ Check</v>
      </c>
      <c r="N195" s="43">
        <v>46193</v>
      </c>
      <c r="O195" s="26" t="s">
        <v>55</v>
      </c>
      <c r="P195" s="26" t="s">
        <v>56</v>
      </c>
      <c r="Q195" s="26" t="s">
        <v>57</v>
      </c>
      <c r="R195" s="26" t="s">
        <v>149</v>
      </c>
      <c r="S195" s="26" t="s">
        <v>57</v>
      </c>
      <c r="T195" s="27" t="s">
        <v>158</v>
      </c>
      <c r="U195" s="28" t="s">
        <v>56</v>
      </c>
      <c r="V195" s="29" t="str">
        <f t="shared" si="14"/>
        <v>⚠ Check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7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8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9"/>
        <v/>
      </c>
    </row>
    <row r="196" spans="1:49" ht="18" customHeight="1" x14ac:dyDescent="0.3">
      <c r="A196" s="39">
        <v>200</v>
      </c>
      <c r="B196" s="40" t="s">
        <v>448</v>
      </c>
      <c r="C196" s="41" t="s">
        <v>449</v>
      </c>
      <c r="D196" s="39" t="s">
        <v>185</v>
      </c>
      <c r="E196" s="43">
        <v>46125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6"/>
        <v>✓ OK</v>
      </c>
      <c r="N196" s="43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4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7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8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9"/>
        <v/>
      </c>
    </row>
    <row r="197" spans="1:49" ht="18" customHeight="1" x14ac:dyDescent="0.3">
      <c r="A197" s="23">
        <v>201</v>
      </c>
      <c r="B197" s="24" t="s">
        <v>450</v>
      </c>
      <c r="C197" s="25" t="s">
        <v>451</v>
      </c>
      <c r="D197" s="23" t="s">
        <v>185</v>
      </c>
      <c r="E197" s="43">
        <v>46125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si="16"/>
        <v>✓ OK</v>
      </c>
      <c r="N197" s="43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20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si="17"/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si="18"/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si="19"/>
        <v/>
      </c>
    </row>
    <row r="198" spans="1:49" ht="18" customHeight="1" x14ac:dyDescent="0.3">
      <c r="A198" s="39">
        <v>202</v>
      </c>
      <c r="B198" s="40" t="s">
        <v>452</v>
      </c>
      <c r="C198" s="41" t="s">
        <v>453</v>
      </c>
      <c r="D198" s="39" t="s">
        <v>185</v>
      </c>
      <c r="E198" s="43">
        <v>46125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6"/>
        <v>✓ OK</v>
      </c>
      <c r="N198" s="43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20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203</v>
      </c>
      <c r="B199" s="24" t="s">
        <v>454</v>
      </c>
      <c r="C199" s="25" t="s">
        <v>455</v>
      </c>
      <c r="D199" s="23" t="s">
        <v>185</v>
      </c>
      <c r="E199" s="43">
        <v>46125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6"/>
        <v>✓ OK</v>
      </c>
      <c r="N199" s="43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20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204</v>
      </c>
      <c r="B200" s="40" t="s">
        <v>456</v>
      </c>
      <c r="C200" s="41" t="s">
        <v>457</v>
      </c>
      <c r="D200" s="39" t="s">
        <v>185</v>
      </c>
      <c r="E200" s="43">
        <v>46125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6"/>
        <v>✓ OK</v>
      </c>
      <c r="N200" s="43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20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205</v>
      </c>
      <c r="B201" s="24" t="s">
        <v>458</v>
      </c>
      <c r="C201" s="25" t="s">
        <v>459</v>
      </c>
      <c r="D201" s="23" t="s">
        <v>185</v>
      </c>
      <c r="E201" s="43">
        <v>46125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6"/>
        <v>✓ OK</v>
      </c>
      <c r="N201" s="43">
        <v>46193</v>
      </c>
      <c r="O201" s="26" t="s">
        <v>55</v>
      </c>
      <c r="P201" s="26" t="s">
        <v>57</v>
      </c>
      <c r="Q201" s="26" t="s">
        <v>56</v>
      </c>
      <c r="R201" s="26" t="s">
        <v>6225</v>
      </c>
      <c r="S201" s="26" t="s">
        <v>57</v>
      </c>
      <c r="T201" s="27"/>
      <c r="U201" s="28" t="s">
        <v>57</v>
      </c>
      <c r="V201" s="29" t="str">
        <f t="shared" si="20"/>
        <v>❌ Disc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206</v>
      </c>
      <c r="B202" s="40" t="s">
        <v>460</v>
      </c>
      <c r="C202" s="41" t="s">
        <v>461</v>
      </c>
      <c r="D202" s="39" t="s">
        <v>185</v>
      </c>
      <c r="E202" s="43">
        <v>46125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6"/>
        <v>✓ OK</v>
      </c>
      <c r="N202" s="43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20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207</v>
      </c>
      <c r="B203" s="24" t="s">
        <v>462</v>
      </c>
      <c r="C203" s="25" t="s">
        <v>463</v>
      </c>
      <c r="D203" s="23" t="s">
        <v>185</v>
      </c>
      <c r="E203" s="43">
        <v>46125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6"/>
        <v>✓ OK</v>
      </c>
      <c r="N203" s="43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20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208</v>
      </c>
      <c r="B204" s="40" t="s">
        <v>464</v>
      </c>
      <c r="C204" s="41" t="s">
        <v>465</v>
      </c>
      <c r="D204" s="39" t="s">
        <v>185</v>
      </c>
      <c r="E204" s="43">
        <v>46125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6"/>
        <v>✓ OK</v>
      </c>
      <c r="N204" s="43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20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209</v>
      </c>
      <c r="B205" s="24" t="s">
        <v>466</v>
      </c>
      <c r="C205" s="25" t="s">
        <v>467</v>
      </c>
      <c r="D205" s="23" t="s">
        <v>185</v>
      </c>
      <c r="E205" s="43">
        <v>46125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6"/>
        <v>✓ OK</v>
      </c>
      <c r="N205" s="43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20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210</v>
      </c>
      <c r="B206" s="40" t="s">
        <v>468</v>
      </c>
      <c r="C206" s="41" t="s">
        <v>469</v>
      </c>
      <c r="D206" s="39" t="s">
        <v>185</v>
      </c>
      <c r="E206" s="43">
        <v>46125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6"/>
        <v>✓ OK</v>
      </c>
      <c r="N206" s="43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20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211</v>
      </c>
      <c r="B207" s="24" t="s">
        <v>470</v>
      </c>
      <c r="C207" s="25" t="s">
        <v>471</v>
      </c>
      <c r="D207" s="23" t="s">
        <v>185</v>
      </c>
      <c r="E207" s="43">
        <v>46125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6"/>
        <v>✓ OK</v>
      </c>
      <c r="N207" s="43">
        <v>46193</v>
      </c>
      <c r="O207" s="26" t="s">
        <v>55</v>
      </c>
      <c r="P207" s="26" t="s">
        <v>57</v>
      </c>
      <c r="Q207" s="26" t="s">
        <v>56</v>
      </c>
      <c r="R207" s="26" t="s">
        <v>6225</v>
      </c>
      <c r="S207" s="26" t="s">
        <v>57</v>
      </c>
      <c r="T207" s="27"/>
      <c r="U207" s="28" t="s">
        <v>57</v>
      </c>
      <c r="V207" s="29" t="str">
        <f t="shared" si="20"/>
        <v>❌ Disc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212</v>
      </c>
      <c r="B208" s="40" t="s">
        <v>472</v>
      </c>
      <c r="C208" s="41" t="s">
        <v>473</v>
      </c>
      <c r="D208" s="39" t="s">
        <v>185</v>
      </c>
      <c r="E208" s="43">
        <v>46125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 t="s">
        <v>240</v>
      </c>
      <c r="L208" s="28" t="s">
        <v>57</v>
      </c>
      <c r="M208" s="29" t="str">
        <f t="shared" si="16"/>
        <v>✓ OK</v>
      </c>
      <c r="N208" s="43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 t="s">
        <v>240</v>
      </c>
      <c r="U208" s="28" t="s">
        <v>57</v>
      </c>
      <c r="V208" s="29" t="str">
        <f t="shared" si="20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213</v>
      </c>
      <c r="B209" s="24" t="s">
        <v>474</v>
      </c>
      <c r="C209" s="25" t="s">
        <v>475</v>
      </c>
      <c r="D209" s="23" t="s">
        <v>185</v>
      </c>
      <c r="E209" s="43">
        <v>46125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6"/>
        <v>✓ OK</v>
      </c>
      <c r="N209" s="43">
        <v>46193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20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214</v>
      </c>
      <c r="B210" s="40" t="s">
        <v>476</v>
      </c>
      <c r="C210" s="41" t="s">
        <v>477</v>
      </c>
      <c r="D210" s="39" t="s">
        <v>185</v>
      </c>
      <c r="E210" s="43">
        <v>46125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 t="s">
        <v>240</v>
      </c>
      <c r="L210" s="28" t="s">
        <v>57</v>
      </c>
      <c r="M210" s="29" t="str">
        <f t="shared" si="16"/>
        <v>✓ OK</v>
      </c>
      <c r="N210" s="43">
        <v>46193</v>
      </c>
      <c r="O210" s="26" t="s">
        <v>55</v>
      </c>
      <c r="P210" s="26" t="s">
        <v>57</v>
      </c>
      <c r="Q210" s="26" t="s">
        <v>56</v>
      </c>
      <c r="R210" s="26" t="s">
        <v>6225</v>
      </c>
      <c r="S210" s="26" t="s">
        <v>57</v>
      </c>
      <c r="T210" s="27"/>
      <c r="U210" s="28" t="s">
        <v>57</v>
      </c>
      <c r="V210" s="29" t="str">
        <f t="shared" si="20"/>
        <v>❌ Disc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215</v>
      </c>
      <c r="B211" s="24" t="s">
        <v>478</v>
      </c>
      <c r="C211" s="25" t="s">
        <v>479</v>
      </c>
      <c r="D211" s="23" t="s">
        <v>185</v>
      </c>
      <c r="E211" s="43">
        <v>46125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6"/>
        <v>✓ OK</v>
      </c>
      <c r="N211" s="43">
        <v>46193</v>
      </c>
      <c r="O211" s="26" t="s">
        <v>55</v>
      </c>
      <c r="P211" s="26" t="s">
        <v>57</v>
      </c>
      <c r="Q211" s="26" t="s">
        <v>56</v>
      </c>
      <c r="R211" s="26" t="s">
        <v>6225</v>
      </c>
      <c r="S211" s="26" t="s">
        <v>57</v>
      </c>
      <c r="T211" s="27"/>
      <c r="U211" s="28" t="s">
        <v>57</v>
      </c>
      <c r="V211" s="29" t="str">
        <f t="shared" si="20"/>
        <v>❌ Disc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216</v>
      </c>
      <c r="B212" s="40" t="s">
        <v>480</v>
      </c>
      <c r="C212" s="41" t="s">
        <v>481</v>
      </c>
      <c r="D212" s="39" t="s">
        <v>185</v>
      </c>
      <c r="E212" s="43">
        <v>46125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6"/>
        <v>✓ OK</v>
      </c>
      <c r="N212" s="43">
        <v>46193</v>
      </c>
      <c r="O212" s="26" t="s">
        <v>55</v>
      </c>
      <c r="P212" s="26" t="s">
        <v>57</v>
      </c>
      <c r="Q212" s="26" t="s">
        <v>56</v>
      </c>
      <c r="R212" s="26" t="s">
        <v>6225</v>
      </c>
      <c r="S212" s="26" t="s">
        <v>57</v>
      </c>
      <c r="T212" s="27"/>
      <c r="U212" s="28" t="s">
        <v>57</v>
      </c>
      <c r="V212" s="29" t="str">
        <f t="shared" si="20"/>
        <v>❌ Disc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217</v>
      </c>
      <c r="B213" s="24" t="s">
        <v>482</v>
      </c>
      <c r="C213" s="25" t="s">
        <v>483</v>
      </c>
      <c r="D213" s="23" t="s">
        <v>185</v>
      </c>
      <c r="E213" s="43">
        <v>46125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6"/>
        <v>✓ OK</v>
      </c>
      <c r="N213" s="43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20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218</v>
      </c>
      <c r="B214" s="40" t="s">
        <v>484</v>
      </c>
      <c r="C214" s="41" t="s">
        <v>485</v>
      </c>
      <c r="D214" s="39" t="s">
        <v>185</v>
      </c>
      <c r="E214" s="43">
        <v>46125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6"/>
        <v>✓ OK</v>
      </c>
      <c r="N214" s="43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20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219</v>
      </c>
      <c r="B215" s="24" t="s">
        <v>486</v>
      </c>
      <c r="C215" s="25" t="s">
        <v>487</v>
      </c>
      <c r="D215" s="23" t="s">
        <v>185</v>
      </c>
      <c r="E215" s="43">
        <v>46125</v>
      </c>
      <c r="F215" s="26" t="s">
        <v>55</v>
      </c>
      <c r="G215" s="26" t="s">
        <v>56</v>
      </c>
      <c r="H215" s="26" t="s">
        <v>57</v>
      </c>
      <c r="I215" s="26" t="s">
        <v>149</v>
      </c>
      <c r="J215" s="26" t="s">
        <v>57</v>
      </c>
      <c r="K215" s="27" t="s">
        <v>158</v>
      </c>
      <c r="L215" s="28" t="s">
        <v>56</v>
      </c>
      <c r="M215" s="29" t="str">
        <f t="shared" si="16"/>
        <v>⚠ Check</v>
      </c>
      <c r="N215" s="43">
        <v>46193</v>
      </c>
      <c r="O215" s="26" t="s">
        <v>55</v>
      </c>
      <c r="P215" s="26" t="s">
        <v>56</v>
      </c>
      <c r="Q215" s="26" t="s">
        <v>57</v>
      </c>
      <c r="R215" s="26" t="s">
        <v>149</v>
      </c>
      <c r="S215" s="26" t="s">
        <v>57</v>
      </c>
      <c r="T215" s="27" t="s">
        <v>158</v>
      </c>
      <c r="U215" s="28" t="s">
        <v>56</v>
      </c>
      <c r="V215" s="29" t="str">
        <f t="shared" si="20"/>
        <v>⚠ Check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220</v>
      </c>
      <c r="B216" s="40" t="s">
        <v>488</v>
      </c>
      <c r="C216" s="41" t="s">
        <v>489</v>
      </c>
      <c r="D216" s="39" t="s">
        <v>185</v>
      </c>
      <c r="E216" s="43">
        <v>46125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6"/>
        <v>✓ OK</v>
      </c>
      <c r="N216" s="43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20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221</v>
      </c>
      <c r="B217" s="24" t="s">
        <v>490</v>
      </c>
      <c r="C217" s="25" t="s">
        <v>491</v>
      </c>
      <c r="D217" s="23" t="s">
        <v>185</v>
      </c>
      <c r="E217" s="43">
        <v>46125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6"/>
        <v>✓ OK</v>
      </c>
      <c r="N217" s="43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20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222</v>
      </c>
      <c r="B218" s="40" t="s">
        <v>492</v>
      </c>
      <c r="C218" s="41" t="s">
        <v>493</v>
      </c>
      <c r="D218" s="39" t="s">
        <v>185</v>
      </c>
      <c r="E218" s="43">
        <v>46125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 t="s">
        <v>240</v>
      </c>
      <c r="L218" s="28" t="s">
        <v>57</v>
      </c>
      <c r="M218" s="29" t="str">
        <f t="shared" si="16"/>
        <v>✓ OK</v>
      </c>
      <c r="N218" s="43">
        <v>46193</v>
      </c>
      <c r="O218" s="26" t="s">
        <v>55</v>
      </c>
      <c r="P218" s="26" t="s">
        <v>57</v>
      </c>
      <c r="Q218" s="26" t="s">
        <v>56</v>
      </c>
      <c r="R218" s="26" t="s">
        <v>6225</v>
      </c>
      <c r="S218" s="26" t="s">
        <v>57</v>
      </c>
      <c r="T218" s="27"/>
      <c r="U218" s="28" t="s">
        <v>57</v>
      </c>
      <c r="V218" s="29" t="str">
        <f t="shared" si="20"/>
        <v>❌ Disc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223</v>
      </c>
      <c r="B219" s="24" t="s">
        <v>494</v>
      </c>
      <c r="C219" s="25" t="s">
        <v>495</v>
      </c>
      <c r="D219" s="23" t="s">
        <v>185</v>
      </c>
      <c r="E219" s="43">
        <v>46125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6"/>
        <v>✓ OK</v>
      </c>
      <c r="N219" s="43">
        <v>46193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20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224</v>
      </c>
      <c r="B220" s="40" t="s">
        <v>496</v>
      </c>
      <c r="C220" s="41" t="s">
        <v>497</v>
      </c>
      <c r="D220" s="39" t="s">
        <v>185</v>
      </c>
      <c r="E220" s="43">
        <v>46125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6"/>
        <v>✓ OK</v>
      </c>
      <c r="N220" s="43">
        <v>46193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20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225</v>
      </c>
      <c r="B221" s="24" t="s">
        <v>498</v>
      </c>
      <c r="C221" s="25" t="s">
        <v>499</v>
      </c>
      <c r="D221" s="23" t="s">
        <v>185</v>
      </c>
      <c r="E221" s="43">
        <v>46125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6"/>
        <v>✓ OK</v>
      </c>
      <c r="N221" s="43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20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226</v>
      </c>
      <c r="B222" s="40" t="s">
        <v>500</v>
      </c>
      <c r="C222" s="41" t="s">
        <v>501</v>
      </c>
      <c r="D222" s="39" t="s">
        <v>185</v>
      </c>
      <c r="E222" s="43">
        <v>46125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6"/>
        <v>✓ OK</v>
      </c>
      <c r="N222" s="43">
        <v>46193</v>
      </c>
      <c r="O222" s="26" t="s">
        <v>55</v>
      </c>
      <c r="P222" s="26" t="s">
        <v>57</v>
      </c>
      <c r="Q222" s="26" t="s">
        <v>56</v>
      </c>
      <c r="R222" s="26" t="s">
        <v>6225</v>
      </c>
      <c r="S222" s="26" t="s">
        <v>57</v>
      </c>
      <c r="T222" s="27"/>
      <c r="U222" s="28" t="s">
        <v>57</v>
      </c>
      <c r="V222" s="29" t="str">
        <f t="shared" si="20"/>
        <v>❌ Disc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227</v>
      </c>
      <c r="B223" s="24" t="s">
        <v>502</v>
      </c>
      <c r="C223" s="25" t="s">
        <v>503</v>
      </c>
      <c r="D223" s="23" t="s">
        <v>185</v>
      </c>
      <c r="E223" s="43">
        <v>46125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6"/>
        <v>✓ OK</v>
      </c>
      <c r="N223" s="43">
        <v>46193</v>
      </c>
      <c r="O223" s="26" t="s">
        <v>55</v>
      </c>
      <c r="P223" s="26" t="s">
        <v>57</v>
      </c>
      <c r="Q223" s="26" t="s">
        <v>56</v>
      </c>
      <c r="R223" s="26" t="s">
        <v>6225</v>
      </c>
      <c r="S223" s="26" t="s">
        <v>57</v>
      </c>
      <c r="T223" s="27"/>
      <c r="U223" s="28" t="s">
        <v>57</v>
      </c>
      <c r="V223" s="29" t="str">
        <f t="shared" si="20"/>
        <v>❌ Disc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228</v>
      </c>
      <c r="B224" s="40" t="s">
        <v>504</v>
      </c>
      <c r="C224" s="41" t="s">
        <v>505</v>
      </c>
      <c r="D224" s="39" t="s">
        <v>185</v>
      </c>
      <c r="E224" s="43">
        <v>46125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 t="s">
        <v>240</v>
      </c>
      <c r="L224" s="28" t="s">
        <v>57</v>
      </c>
      <c r="M224" s="29" t="str">
        <f t="shared" si="16"/>
        <v>✓ OK</v>
      </c>
      <c r="N224" s="43">
        <v>46193</v>
      </c>
      <c r="O224" s="26" t="s">
        <v>55</v>
      </c>
      <c r="P224" s="26" t="s">
        <v>57</v>
      </c>
      <c r="Q224" s="26" t="s">
        <v>56</v>
      </c>
      <c r="R224" s="26" t="s">
        <v>6225</v>
      </c>
      <c r="S224" s="26" t="s">
        <v>57</v>
      </c>
      <c r="T224" s="27"/>
      <c r="U224" s="28" t="s">
        <v>57</v>
      </c>
      <c r="V224" s="29" t="str">
        <f t="shared" si="20"/>
        <v>❌ Disc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229</v>
      </c>
      <c r="B225" s="24" t="s">
        <v>506</v>
      </c>
      <c r="C225" s="25" t="s">
        <v>507</v>
      </c>
      <c r="D225" s="23" t="s">
        <v>185</v>
      </c>
      <c r="E225" s="43">
        <v>46125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6"/>
        <v>✓ OK</v>
      </c>
      <c r="N225" s="43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20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230</v>
      </c>
      <c r="B226" s="40" t="s">
        <v>508</v>
      </c>
      <c r="C226" s="41" t="s">
        <v>509</v>
      </c>
      <c r="D226" s="39" t="s">
        <v>185</v>
      </c>
      <c r="E226" s="43">
        <v>46125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6"/>
        <v>✓ OK</v>
      </c>
      <c r="N226" s="43">
        <v>46193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20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231</v>
      </c>
      <c r="B227" s="24" t="s">
        <v>510</v>
      </c>
      <c r="C227" s="25" t="s">
        <v>511</v>
      </c>
      <c r="D227" s="23" t="s">
        <v>185</v>
      </c>
      <c r="E227" s="43">
        <v>46125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 t="s">
        <v>240</v>
      </c>
      <c r="L227" s="28" t="s">
        <v>56</v>
      </c>
      <c r="M227" s="29" t="str">
        <f t="shared" si="16"/>
        <v>✓ OK</v>
      </c>
      <c r="N227" s="43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 t="s">
        <v>240</v>
      </c>
      <c r="U227" s="28" t="s">
        <v>56</v>
      </c>
      <c r="V227" s="29" t="str">
        <f t="shared" si="20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232</v>
      </c>
      <c r="B228" s="40" t="s">
        <v>512</v>
      </c>
      <c r="C228" s="41" t="s">
        <v>513</v>
      </c>
      <c r="D228" s="39" t="s">
        <v>185</v>
      </c>
      <c r="E228" s="43">
        <v>46125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6"/>
        <v>✓ OK</v>
      </c>
      <c r="N228" s="43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20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233</v>
      </c>
      <c r="B229" s="24" t="s">
        <v>514</v>
      </c>
      <c r="C229" s="25" t="s">
        <v>515</v>
      </c>
      <c r="D229" s="23" t="s">
        <v>185</v>
      </c>
      <c r="E229" s="43">
        <v>46125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6"/>
        <v>✓ OK</v>
      </c>
      <c r="N229" s="43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20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234</v>
      </c>
      <c r="B230" s="40" t="s">
        <v>516</v>
      </c>
      <c r="C230" s="41" t="s">
        <v>517</v>
      </c>
      <c r="D230" s="39" t="s">
        <v>185</v>
      </c>
      <c r="E230" s="43">
        <v>46125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 t="s">
        <v>240</v>
      </c>
      <c r="L230" s="28" t="s">
        <v>56</v>
      </c>
      <c r="M230" s="29" t="str">
        <f t="shared" si="16"/>
        <v>✓ OK</v>
      </c>
      <c r="N230" s="43">
        <v>46193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 t="s">
        <v>240</v>
      </c>
      <c r="U230" s="28" t="s">
        <v>56</v>
      </c>
      <c r="V230" s="29" t="str">
        <f t="shared" si="20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235</v>
      </c>
      <c r="B231" s="24" t="s">
        <v>518</v>
      </c>
      <c r="C231" s="25" t="s">
        <v>519</v>
      </c>
      <c r="D231" s="23" t="s">
        <v>185</v>
      </c>
      <c r="E231" s="43">
        <v>46125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 t="s">
        <v>240</v>
      </c>
      <c r="L231" s="28" t="s">
        <v>56</v>
      </c>
      <c r="M231" s="29" t="str">
        <f t="shared" si="16"/>
        <v>✓ OK</v>
      </c>
      <c r="N231" s="43">
        <v>46193</v>
      </c>
      <c r="O231" s="26" t="s">
        <v>55</v>
      </c>
      <c r="P231" s="26" t="s">
        <v>57</v>
      </c>
      <c r="Q231" s="26" t="s">
        <v>56</v>
      </c>
      <c r="R231" s="26" t="s">
        <v>6225</v>
      </c>
      <c r="S231" s="26" t="s">
        <v>57</v>
      </c>
      <c r="T231" s="27"/>
      <c r="U231" s="28" t="s">
        <v>56</v>
      </c>
      <c r="V231" s="29" t="str">
        <f t="shared" si="20"/>
        <v>❌ Disc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236</v>
      </c>
      <c r="B232" s="40" t="s">
        <v>520</v>
      </c>
      <c r="C232" s="41" t="s">
        <v>521</v>
      </c>
      <c r="D232" s="39" t="s">
        <v>185</v>
      </c>
      <c r="E232" s="43">
        <v>46125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6"/>
        <v>✓ OK</v>
      </c>
      <c r="N232" s="43">
        <v>46193</v>
      </c>
      <c r="O232" s="26" t="s">
        <v>55</v>
      </c>
      <c r="P232" s="26" t="s">
        <v>57</v>
      </c>
      <c r="Q232" s="26" t="s">
        <v>56</v>
      </c>
      <c r="R232" s="26" t="s">
        <v>6225</v>
      </c>
      <c r="S232" s="26" t="s">
        <v>57</v>
      </c>
      <c r="T232" s="27"/>
      <c r="U232" s="28" t="s">
        <v>57</v>
      </c>
      <c r="V232" s="29" t="str">
        <f t="shared" si="20"/>
        <v>❌ Disc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237</v>
      </c>
      <c r="B233" s="24" t="s">
        <v>522</v>
      </c>
      <c r="C233" s="25" t="s">
        <v>523</v>
      </c>
      <c r="D233" s="23" t="s">
        <v>185</v>
      </c>
      <c r="E233" s="43">
        <v>46125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 t="s">
        <v>240</v>
      </c>
      <c r="L233" s="28" t="s">
        <v>56</v>
      </c>
      <c r="M233" s="29" t="str">
        <f t="shared" si="16"/>
        <v>✓ OK</v>
      </c>
      <c r="N233" s="43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 t="s">
        <v>240</v>
      </c>
      <c r="U233" s="28" t="s">
        <v>56</v>
      </c>
      <c r="V233" s="29" t="str">
        <f t="shared" si="20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238</v>
      </c>
      <c r="B234" s="40" t="s">
        <v>524</v>
      </c>
      <c r="C234" s="41" t="s">
        <v>525</v>
      </c>
      <c r="D234" s="39" t="s">
        <v>185</v>
      </c>
      <c r="E234" s="43">
        <v>46125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6"/>
        <v>✓ OK</v>
      </c>
      <c r="N234" s="43">
        <v>46193</v>
      </c>
      <c r="O234" s="26" t="s">
        <v>55</v>
      </c>
      <c r="P234" s="26" t="s">
        <v>57</v>
      </c>
      <c r="Q234" s="26" t="s">
        <v>56</v>
      </c>
      <c r="R234" s="26" t="s">
        <v>6225</v>
      </c>
      <c r="S234" s="26" t="s">
        <v>57</v>
      </c>
      <c r="T234" s="27"/>
      <c r="U234" s="28" t="s">
        <v>57</v>
      </c>
      <c r="V234" s="29" t="str">
        <f t="shared" si="20"/>
        <v>❌ Disc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239</v>
      </c>
      <c r="B235" s="24" t="s">
        <v>526</v>
      </c>
      <c r="C235" s="25" t="s">
        <v>527</v>
      </c>
      <c r="D235" s="23" t="s">
        <v>185</v>
      </c>
      <c r="E235" s="43">
        <v>46125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6"/>
        <v>✓ OK</v>
      </c>
      <c r="N235" s="43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20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240</v>
      </c>
      <c r="B236" s="40" t="s">
        <v>528</v>
      </c>
      <c r="C236" s="41" t="s">
        <v>529</v>
      </c>
      <c r="D236" s="39" t="s">
        <v>185</v>
      </c>
      <c r="E236" s="43">
        <v>46125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 t="s">
        <v>240</v>
      </c>
      <c r="L236" s="28" t="s">
        <v>56</v>
      </c>
      <c r="M236" s="29" t="str">
        <f t="shared" si="16"/>
        <v>✓ OK</v>
      </c>
      <c r="N236" s="43">
        <v>46193</v>
      </c>
      <c r="O236" s="26" t="s">
        <v>55</v>
      </c>
      <c r="P236" s="26" t="s">
        <v>57</v>
      </c>
      <c r="Q236" s="26" t="s">
        <v>56</v>
      </c>
      <c r="R236" s="26" t="s">
        <v>6225</v>
      </c>
      <c r="S236" s="26" t="s">
        <v>57</v>
      </c>
      <c r="T236" s="27"/>
      <c r="U236" s="28" t="s">
        <v>56</v>
      </c>
      <c r="V236" s="29" t="str">
        <f t="shared" si="20"/>
        <v>❌ Disc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241</v>
      </c>
      <c r="B237" s="24" t="s">
        <v>530</v>
      </c>
      <c r="C237" s="25" t="s">
        <v>531</v>
      </c>
      <c r="D237" s="23" t="s">
        <v>185</v>
      </c>
      <c r="E237" s="43">
        <v>46125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 t="s">
        <v>240</v>
      </c>
      <c r="L237" s="28" t="s">
        <v>56</v>
      </c>
      <c r="M237" s="29" t="str">
        <f t="shared" si="16"/>
        <v>✓ OK</v>
      </c>
      <c r="N237" s="43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 t="s">
        <v>240</v>
      </c>
      <c r="U237" s="28" t="s">
        <v>56</v>
      </c>
      <c r="V237" s="29" t="str">
        <f t="shared" si="20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242</v>
      </c>
      <c r="B238" s="40" t="s">
        <v>532</v>
      </c>
      <c r="C238" s="41" t="s">
        <v>533</v>
      </c>
      <c r="D238" s="39" t="s">
        <v>185</v>
      </c>
      <c r="E238" s="43">
        <v>46125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 t="s">
        <v>240</v>
      </c>
      <c r="L238" s="28" t="s">
        <v>56</v>
      </c>
      <c r="M238" s="29" t="str">
        <f t="shared" si="16"/>
        <v>✓ OK</v>
      </c>
      <c r="N238" s="43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 t="s">
        <v>240</v>
      </c>
      <c r="U238" s="28" t="s">
        <v>56</v>
      </c>
      <c r="V238" s="29" t="str">
        <f t="shared" si="20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243</v>
      </c>
      <c r="B239" s="24" t="s">
        <v>534</v>
      </c>
      <c r="C239" s="25" t="s">
        <v>535</v>
      </c>
      <c r="D239" s="23" t="s">
        <v>185</v>
      </c>
      <c r="E239" s="43">
        <v>46125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6"/>
        <v>✓ OK</v>
      </c>
      <c r="N239" s="43">
        <v>46193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20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244</v>
      </c>
      <c r="B240" s="40" t="s">
        <v>536</v>
      </c>
      <c r="C240" s="41" t="s">
        <v>537</v>
      </c>
      <c r="D240" s="39" t="s">
        <v>185</v>
      </c>
      <c r="E240" s="43">
        <v>46125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 t="s">
        <v>240</v>
      </c>
      <c r="L240" s="28" t="s">
        <v>56</v>
      </c>
      <c r="M240" s="29" t="str">
        <f t="shared" si="16"/>
        <v>✓ OK</v>
      </c>
      <c r="N240" s="43">
        <v>46193</v>
      </c>
      <c r="O240" s="26" t="s">
        <v>55</v>
      </c>
      <c r="P240" s="26" t="s">
        <v>57</v>
      </c>
      <c r="Q240" s="26" t="s">
        <v>56</v>
      </c>
      <c r="R240" s="26" t="s">
        <v>6225</v>
      </c>
      <c r="S240" s="26" t="s">
        <v>57</v>
      </c>
      <c r="T240" s="27"/>
      <c r="U240" s="28" t="s">
        <v>56</v>
      </c>
      <c r="V240" s="29" t="str">
        <f t="shared" si="20"/>
        <v>❌ Disc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245</v>
      </c>
      <c r="B241" s="24" t="s">
        <v>538</v>
      </c>
      <c r="C241" s="25" t="s">
        <v>539</v>
      </c>
      <c r="D241" s="23" t="s">
        <v>185</v>
      </c>
      <c r="E241" s="43">
        <v>46125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6"/>
        <v>✓ OK</v>
      </c>
      <c r="N241" s="43">
        <v>46193</v>
      </c>
      <c r="O241" s="26" t="s">
        <v>55</v>
      </c>
      <c r="P241" s="26" t="s">
        <v>57</v>
      </c>
      <c r="Q241" s="26" t="s">
        <v>56</v>
      </c>
      <c r="R241" s="26" t="s">
        <v>6225</v>
      </c>
      <c r="S241" s="26" t="s">
        <v>57</v>
      </c>
      <c r="T241" s="27"/>
      <c r="U241" s="28" t="s">
        <v>57</v>
      </c>
      <c r="V241" s="29" t="str">
        <f t="shared" si="20"/>
        <v>❌ Disc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246</v>
      </c>
      <c r="B242" s="40" t="s">
        <v>540</v>
      </c>
      <c r="C242" s="41" t="s">
        <v>541</v>
      </c>
      <c r="D242" s="39" t="s">
        <v>185</v>
      </c>
      <c r="E242" s="43">
        <v>46125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6"/>
        <v>✓ OK</v>
      </c>
      <c r="N242" s="43">
        <v>46193</v>
      </c>
      <c r="O242" s="26" t="s">
        <v>55</v>
      </c>
      <c r="P242" s="26" t="s">
        <v>57</v>
      </c>
      <c r="Q242" s="26" t="s">
        <v>56</v>
      </c>
      <c r="R242" s="26" t="s">
        <v>6225</v>
      </c>
      <c r="S242" s="26" t="s">
        <v>57</v>
      </c>
      <c r="T242" s="27"/>
      <c r="U242" s="28" t="s">
        <v>57</v>
      </c>
      <c r="V242" s="29" t="str">
        <f t="shared" si="20"/>
        <v>❌ Disc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247</v>
      </c>
      <c r="B243" s="24" t="s">
        <v>542</v>
      </c>
      <c r="C243" s="25" t="s">
        <v>543</v>
      </c>
      <c r="D243" s="23" t="s">
        <v>185</v>
      </c>
      <c r="E243" s="43">
        <v>46125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6"/>
        <v>✓ OK</v>
      </c>
      <c r="N243" s="43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20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248</v>
      </c>
      <c r="B244" s="40" t="s">
        <v>544</v>
      </c>
      <c r="C244" s="41" t="s">
        <v>545</v>
      </c>
      <c r="D244" s="39" t="s">
        <v>185</v>
      </c>
      <c r="E244" s="43">
        <v>46125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6"/>
        <v>✓ OK</v>
      </c>
      <c r="N244" s="43">
        <v>46193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20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249</v>
      </c>
      <c r="B245" s="24" t="s">
        <v>546</v>
      </c>
      <c r="C245" s="25" t="s">
        <v>547</v>
      </c>
      <c r="D245" s="23" t="s">
        <v>185</v>
      </c>
      <c r="E245" s="43">
        <v>46125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 t="s">
        <v>240</v>
      </c>
      <c r="L245" s="28" t="s">
        <v>56</v>
      </c>
      <c r="M245" s="29" t="str">
        <f t="shared" si="16"/>
        <v>✓ OK</v>
      </c>
      <c r="N245" s="43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 t="s">
        <v>240</v>
      </c>
      <c r="U245" s="28" t="s">
        <v>56</v>
      </c>
      <c r="V245" s="29" t="str">
        <f t="shared" si="20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250</v>
      </c>
      <c r="B246" s="40" t="s">
        <v>548</v>
      </c>
      <c r="C246" s="41" t="s">
        <v>549</v>
      </c>
      <c r="D246" s="39" t="s">
        <v>185</v>
      </c>
      <c r="E246" s="43">
        <v>46125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6"/>
        <v>✓ OK</v>
      </c>
      <c r="N246" s="43">
        <v>46193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20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251</v>
      </c>
      <c r="B247" s="24" t="s">
        <v>550</v>
      </c>
      <c r="C247" s="25" t="s">
        <v>551</v>
      </c>
      <c r="D247" s="23" t="s">
        <v>185</v>
      </c>
      <c r="E247" s="43">
        <v>46125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6"/>
        <v>✓ OK</v>
      </c>
      <c r="N247" s="43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20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252</v>
      </c>
      <c r="B248" s="40" t="s">
        <v>552</v>
      </c>
      <c r="C248" s="41" t="s">
        <v>553</v>
      </c>
      <c r="D248" s="39" t="s">
        <v>185</v>
      </c>
      <c r="E248" s="43">
        <v>46125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6"/>
        <v>✓ OK</v>
      </c>
      <c r="N248" s="43">
        <v>46193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20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253</v>
      </c>
      <c r="B249" s="24" t="s">
        <v>554</v>
      </c>
      <c r="C249" s="25" t="s">
        <v>555</v>
      </c>
      <c r="D249" s="23" t="s">
        <v>185</v>
      </c>
      <c r="E249" s="43">
        <v>46125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6"/>
        <v>✓ OK</v>
      </c>
      <c r="N249" s="43">
        <v>46193</v>
      </c>
      <c r="O249" s="26" t="s">
        <v>55</v>
      </c>
      <c r="P249" s="26" t="s">
        <v>57</v>
      </c>
      <c r="Q249" s="26" t="s">
        <v>56</v>
      </c>
      <c r="R249" s="26" t="s">
        <v>6225</v>
      </c>
      <c r="S249" s="26" t="s">
        <v>57</v>
      </c>
      <c r="T249" s="27"/>
      <c r="U249" s="28" t="s">
        <v>57</v>
      </c>
      <c r="V249" s="29" t="str">
        <f t="shared" si="20"/>
        <v>❌ Disc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254</v>
      </c>
      <c r="B250" s="40" t="s">
        <v>556</v>
      </c>
      <c r="C250" s="41" t="s">
        <v>557</v>
      </c>
      <c r="D250" s="39" t="s">
        <v>185</v>
      </c>
      <c r="E250" s="43">
        <v>46125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 t="s">
        <v>240</v>
      </c>
      <c r="L250" s="28" t="s">
        <v>56</v>
      </c>
      <c r="M250" s="29" t="str">
        <f t="shared" si="16"/>
        <v>✓ OK</v>
      </c>
      <c r="N250" s="43">
        <v>46193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 t="s">
        <v>240</v>
      </c>
      <c r="U250" s="28" t="s">
        <v>56</v>
      </c>
      <c r="V250" s="29" t="str">
        <f t="shared" si="20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255</v>
      </c>
      <c r="B251" s="24" t="s">
        <v>558</v>
      </c>
      <c r="C251" s="25" t="s">
        <v>559</v>
      </c>
      <c r="D251" s="23" t="s">
        <v>185</v>
      </c>
      <c r="E251" s="43">
        <v>46125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6"/>
        <v>✓ OK</v>
      </c>
      <c r="N251" s="43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20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256</v>
      </c>
      <c r="B252" s="40" t="s">
        <v>560</v>
      </c>
      <c r="C252" s="41" t="s">
        <v>561</v>
      </c>
      <c r="D252" s="39" t="s">
        <v>185</v>
      </c>
      <c r="E252" s="43">
        <v>46125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6"/>
        <v>✓ OK</v>
      </c>
      <c r="N252" s="43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20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257</v>
      </c>
      <c r="B253" s="24" t="s">
        <v>562</v>
      </c>
      <c r="C253" s="25" t="s">
        <v>563</v>
      </c>
      <c r="D253" s="23" t="s">
        <v>185</v>
      </c>
      <c r="E253" s="43">
        <v>46125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ref="M253:M288" si="21">IF(E253="","",IF(H253="Yes","❌ Disc",IF(G253="No","⚠ Missing",IF(J253="Yes","✓ OK","⚠ Check"))))</f>
        <v>✓ OK</v>
      </c>
      <c r="N253" s="43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20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ref="AE253:AE288" si="22">IF(W253="","",IF(Z253="Yes","❌ Disc",IF(Y253="No","⚠ Missing",IF(AB253="Yes","✓ OK","⚠ Check"))))</f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ref="AN253:AN288" si="23"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ref="AW253:AW288" si="24">IF(AO253="","",IF(AR253="Yes","❌ Disc",IF(AQ253="No","⚠ Missing",IF(AT253="Yes","✓ OK","⚠ Check"))))</f>
        <v/>
      </c>
    </row>
    <row r="254" spans="1:49" ht="18" customHeight="1" x14ac:dyDescent="0.3">
      <c r="A254" s="39">
        <v>258</v>
      </c>
      <c r="B254" s="40" t="s">
        <v>564</v>
      </c>
      <c r="C254" s="41" t="s">
        <v>565</v>
      </c>
      <c r="D254" s="39" t="s">
        <v>185</v>
      </c>
      <c r="E254" s="43">
        <v>46125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21"/>
        <v>✓ OK</v>
      </c>
      <c r="N254" s="43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20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22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3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4"/>
        <v/>
      </c>
    </row>
    <row r="255" spans="1:49" ht="18" customHeight="1" x14ac:dyDescent="0.3">
      <c r="A255" s="23">
        <v>259</v>
      </c>
      <c r="B255" s="24" t="s">
        <v>566</v>
      </c>
      <c r="C255" s="25" t="s">
        <v>567</v>
      </c>
      <c r="D255" s="23" t="s">
        <v>185</v>
      </c>
      <c r="E255" s="43">
        <v>46125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21"/>
        <v>✓ OK</v>
      </c>
      <c r="N255" s="43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20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22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3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4"/>
        <v/>
      </c>
    </row>
    <row r="256" spans="1:49" ht="18" customHeight="1" x14ac:dyDescent="0.3">
      <c r="A256" s="39">
        <v>260</v>
      </c>
      <c r="B256" s="40" t="s">
        <v>568</v>
      </c>
      <c r="C256" s="41" t="s">
        <v>569</v>
      </c>
      <c r="D256" s="39" t="s">
        <v>185</v>
      </c>
      <c r="E256" s="43">
        <v>46125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21"/>
        <v>✓ OK</v>
      </c>
      <c r="N256" s="43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20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22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3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4"/>
        <v/>
      </c>
    </row>
    <row r="257" spans="1:49" ht="18" customHeight="1" x14ac:dyDescent="0.3">
      <c r="A257" s="23">
        <v>261</v>
      </c>
      <c r="B257" s="24" t="s">
        <v>570</v>
      </c>
      <c r="C257" s="25" t="s">
        <v>571</v>
      </c>
      <c r="D257" s="23" t="s">
        <v>185</v>
      </c>
      <c r="E257" s="43">
        <v>46125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 t="s">
        <v>240</v>
      </c>
      <c r="L257" s="28" t="s">
        <v>56</v>
      </c>
      <c r="M257" s="29" t="str">
        <f t="shared" si="21"/>
        <v>✓ OK</v>
      </c>
      <c r="N257" s="43">
        <v>46193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 t="s">
        <v>240</v>
      </c>
      <c r="U257" s="28" t="s">
        <v>56</v>
      </c>
      <c r="V257" s="29" t="str">
        <f t="shared" si="20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22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3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4"/>
        <v/>
      </c>
    </row>
    <row r="258" spans="1:49" ht="18" customHeight="1" x14ac:dyDescent="0.3">
      <c r="A258" s="39">
        <v>262</v>
      </c>
      <c r="B258" s="40" t="s">
        <v>572</v>
      </c>
      <c r="C258" s="41" t="s">
        <v>573</v>
      </c>
      <c r="D258" s="39" t="s">
        <v>185</v>
      </c>
      <c r="E258" s="43">
        <v>46125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21"/>
        <v>✓ OK</v>
      </c>
      <c r="N258" s="43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20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22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3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4"/>
        <v/>
      </c>
    </row>
    <row r="259" spans="1:49" ht="18" customHeight="1" x14ac:dyDescent="0.3">
      <c r="A259" s="23">
        <v>263</v>
      </c>
      <c r="B259" s="24" t="s">
        <v>574</v>
      </c>
      <c r="C259" s="25" t="s">
        <v>575</v>
      </c>
      <c r="D259" s="23" t="s">
        <v>185</v>
      </c>
      <c r="E259" s="43">
        <v>46125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21"/>
        <v>✓ OK</v>
      </c>
      <c r="N259" s="43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20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22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3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4"/>
        <v/>
      </c>
    </row>
    <row r="260" spans="1:49" ht="18" customHeight="1" x14ac:dyDescent="0.3">
      <c r="A260" s="39">
        <v>264</v>
      </c>
      <c r="B260" s="40" t="s">
        <v>576</v>
      </c>
      <c r="C260" s="41" t="s">
        <v>577</v>
      </c>
      <c r="D260" s="39" t="s">
        <v>185</v>
      </c>
      <c r="E260" s="43">
        <v>46125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21"/>
        <v>✓ OK</v>
      </c>
      <c r="N260" s="43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20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22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3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4"/>
        <v/>
      </c>
    </row>
    <row r="261" spans="1:49" ht="18" customHeight="1" x14ac:dyDescent="0.3">
      <c r="A261" s="23">
        <v>265</v>
      </c>
      <c r="B261" s="24" t="s">
        <v>578</v>
      </c>
      <c r="C261" s="25" t="s">
        <v>579</v>
      </c>
      <c r="D261" s="23" t="s">
        <v>185</v>
      </c>
      <c r="E261" s="43">
        <v>46125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 t="s">
        <v>240</v>
      </c>
      <c r="L261" s="28" t="s">
        <v>56</v>
      </c>
      <c r="M261" s="29" t="str">
        <f t="shared" si="21"/>
        <v>✓ OK</v>
      </c>
      <c r="N261" s="43">
        <v>46193</v>
      </c>
      <c r="O261" s="26" t="s">
        <v>55</v>
      </c>
      <c r="P261" s="26" t="s">
        <v>57</v>
      </c>
      <c r="Q261" s="26" t="s">
        <v>56</v>
      </c>
      <c r="R261" s="26" t="s">
        <v>6225</v>
      </c>
      <c r="S261" s="26" t="s">
        <v>57</v>
      </c>
      <c r="T261" s="27"/>
      <c r="U261" s="28" t="s">
        <v>56</v>
      </c>
      <c r="V261" s="29" t="str">
        <f t="shared" ref="V261:V288" si="25">IF(N261="","",IF(Q261="Yes","❌ Disc",IF(P261="No","⚠ Missing",IF(S261="Yes","✓ OK","⚠ Check"))))</f>
        <v>❌ Disc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si="22"/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si="23"/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si="24"/>
        <v/>
      </c>
    </row>
    <row r="262" spans="1:49" ht="18" customHeight="1" x14ac:dyDescent="0.3">
      <c r="A262" s="39">
        <v>266</v>
      </c>
      <c r="B262" s="40" t="s">
        <v>580</v>
      </c>
      <c r="C262" s="41" t="s">
        <v>581</v>
      </c>
      <c r="D262" s="39" t="s">
        <v>185</v>
      </c>
      <c r="E262" s="43">
        <v>46125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1"/>
        <v>✓ OK</v>
      </c>
      <c r="N262" s="43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5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267</v>
      </c>
      <c r="B263" s="24" t="s">
        <v>582</v>
      </c>
      <c r="C263" s="25" t="s">
        <v>583</v>
      </c>
      <c r="D263" s="23" t="s">
        <v>185</v>
      </c>
      <c r="E263" s="43">
        <v>46125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1"/>
        <v>✓ OK</v>
      </c>
      <c r="N263" s="43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5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268</v>
      </c>
      <c r="B264" s="40" t="s">
        <v>584</v>
      </c>
      <c r="C264" s="41" t="s">
        <v>585</v>
      </c>
      <c r="D264" s="39" t="s">
        <v>185</v>
      </c>
      <c r="E264" s="43">
        <v>46125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1"/>
        <v>✓ OK</v>
      </c>
      <c r="N264" s="43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5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269</v>
      </c>
      <c r="B265" s="24" t="s">
        <v>586</v>
      </c>
      <c r="C265" s="25" t="s">
        <v>587</v>
      </c>
      <c r="D265" s="23" t="s">
        <v>185</v>
      </c>
      <c r="E265" s="43">
        <v>46125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1"/>
        <v>✓ OK</v>
      </c>
      <c r="N265" s="43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5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270</v>
      </c>
      <c r="B266" s="40" t="s">
        <v>588</v>
      </c>
      <c r="C266" s="41" t="s">
        <v>589</v>
      </c>
      <c r="D266" s="39" t="s">
        <v>185</v>
      </c>
      <c r="E266" s="43">
        <v>46125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1"/>
        <v>✓ OK</v>
      </c>
      <c r="N266" s="43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5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271</v>
      </c>
      <c r="B267" s="24" t="s">
        <v>590</v>
      </c>
      <c r="C267" s="25" t="s">
        <v>591</v>
      </c>
      <c r="D267" s="23" t="s">
        <v>185</v>
      </c>
      <c r="E267" s="43">
        <v>46125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1"/>
        <v>✓ OK</v>
      </c>
      <c r="N267" s="43">
        <v>46193</v>
      </c>
      <c r="O267" s="26" t="s">
        <v>55</v>
      </c>
      <c r="P267" s="26" t="s">
        <v>57</v>
      </c>
      <c r="Q267" s="26" t="s">
        <v>56</v>
      </c>
      <c r="R267" s="26" t="s">
        <v>6225</v>
      </c>
      <c r="S267" s="26" t="s">
        <v>57</v>
      </c>
      <c r="T267" s="27"/>
      <c r="U267" s="28" t="s">
        <v>57</v>
      </c>
      <c r="V267" s="29" t="str">
        <f t="shared" si="25"/>
        <v>❌ Disc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272</v>
      </c>
      <c r="B268" s="40" t="s">
        <v>592</v>
      </c>
      <c r="C268" s="41" t="s">
        <v>593</v>
      </c>
      <c r="D268" s="39" t="s">
        <v>185</v>
      </c>
      <c r="E268" s="43">
        <v>46125</v>
      </c>
      <c r="F268" s="26" t="s">
        <v>55</v>
      </c>
      <c r="G268" s="26" t="s">
        <v>56</v>
      </c>
      <c r="H268" s="26" t="s">
        <v>57</v>
      </c>
      <c r="I268" s="26" t="s">
        <v>149</v>
      </c>
      <c r="J268" s="26" t="s">
        <v>57</v>
      </c>
      <c r="K268" s="27" t="s">
        <v>158</v>
      </c>
      <c r="L268" s="28" t="s">
        <v>56</v>
      </c>
      <c r="M268" s="29" t="str">
        <f t="shared" si="21"/>
        <v>⚠ Check</v>
      </c>
      <c r="N268" s="43">
        <v>46193</v>
      </c>
      <c r="O268" s="26" t="s">
        <v>55</v>
      </c>
      <c r="P268" s="26" t="s">
        <v>56</v>
      </c>
      <c r="Q268" s="26" t="s">
        <v>57</v>
      </c>
      <c r="R268" s="26" t="s">
        <v>149</v>
      </c>
      <c r="S268" s="26" t="s">
        <v>57</v>
      </c>
      <c r="T268" s="27" t="s">
        <v>158</v>
      </c>
      <c r="U268" s="28" t="s">
        <v>56</v>
      </c>
      <c r="V268" s="29" t="str">
        <f t="shared" si="25"/>
        <v>⚠ Check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273</v>
      </c>
      <c r="B269" s="24" t="s">
        <v>594</v>
      </c>
      <c r="C269" s="25" t="s">
        <v>595</v>
      </c>
      <c r="D269" s="23" t="s">
        <v>185</v>
      </c>
      <c r="E269" s="43">
        <v>46125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1"/>
        <v>✓ OK</v>
      </c>
      <c r="N269" s="43">
        <v>46193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5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274</v>
      </c>
      <c r="B270" s="40" t="s">
        <v>596</v>
      </c>
      <c r="C270" s="41" t="s">
        <v>597</v>
      </c>
      <c r="D270" s="39" t="s">
        <v>185</v>
      </c>
      <c r="E270" s="43">
        <v>46125</v>
      </c>
      <c r="F270" s="26" t="s">
        <v>55</v>
      </c>
      <c r="G270" s="26" t="s">
        <v>57</v>
      </c>
      <c r="H270" s="26" t="s">
        <v>57</v>
      </c>
      <c r="I270" s="26" t="s">
        <v>153</v>
      </c>
      <c r="J270" s="26" t="s">
        <v>57</v>
      </c>
      <c r="K270" s="27"/>
      <c r="L270" s="28" t="s">
        <v>56</v>
      </c>
      <c r="M270" s="29" t="str">
        <f t="shared" si="21"/>
        <v>⚠ Missing</v>
      </c>
      <c r="N270" s="43">
        <v>46193</v>
      </c>
      <c r="O270" s="26" t="s">
        <v>55</v>
      </c>
      <c r="P270" s="26" t="s">
        <v>57</v>
      </c>
      <c r="Q270" s="26" t="s">
        <v>57</v>
      </c>
      <c r="R270" s="26" t="s">
        <v>153</v>
      </c>
      <c r="S270" s="26" t="s">
        <v>57</v>
      </c>
      <c r="T270" s="27"/>
      <c r="U270" s="28" t="s">
        <v>56</v>
      </c>
      <c r="V270" s="29" t="str">
        <f t="shared" si="25"/>
        <v>⚠ Missing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275</v>
      </c>
      <c r="B271" s="24" t="s">
        <v>598</v>
      </c>
      <c r="C271" s="25" t="s">
        <v>599</v>
      </c>
      <c r="D271" s="23" t="s">
        <v>185</v>
      </c>
      <c r="E271" s="43">
        <v>46125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1"/>
        <v>✓ OK</v>
      </c>
      <c r="N271" s="43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5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276</v>
      </c>
      <c r="B272" s="40" t="s">
        <v>600</v>
      </c>
      <c r="C272" s="41" t="s">
        <v>601</v>
      </c>
      <c r="D272" s="39" t="s">
        <v>185</v>
      </c>
      <c r="E272" s="43">
        <v>46125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1"/>
        <v>✓ OK</v>
      </c>
      <c r="N272" s="43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5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277</v>
      </c>
      <c r="B273" s="24" t="s">
        <v>602</v>
      </c>
      <c r="C273" s="25" t="s">
        <v>603</v>
      </c>
      <c r="D273" s="23" t="s">
        <v>185</v>
      </c>
      <c r="E273" s="43">
        <v>46125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1"/>
        <v>✓ OK</v>
      </c>
      <c r="N273" s="43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5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278</v>
      </c>
      <c r="B274" s="40" t="s">
        <v>604</v>
      </c>
      <c r="C274" s="41" t="s">
        <v>605</v>
      </c>
      <c r="D274" s="39" t="s">
        <v>185</v>
      </c>
      <c r="E274" s="43">
        <v>46125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1"/>
        <v>✓ OK</v>
      </c>
      <c r="N274" s="43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5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279</v>
      </c>
      <c r="B275" s="24" t="s">
        <v>606</v>
      </c>
      <c r="C275" s="25" t="s">
        <v>607</v>
      </c>
      <c r="D275" s="23" t="s">
        <v>185</v>
      </c>
      <c r="E275" s="43">
        <v>46125</v>
      </c>
      <c r="F275" s="26" t="s">
        <v>55</v>
      </c>
      <c r="G275" s="26" t="s">
        <v>56</v>
      </c>
      <c r="H275" s="26" t="s">
        <v>57</v>
      </c>
      <c r="I275" s="26" t="s">
        <v>149</v>
      </c>
      <c r="J275" s="26" t="s">
        <v>57</v>
      </c>
      <c r="K275" s="27" t="s">
        <v>150</v>
      </c>
      <c r="L275" s="28" t="s">
        <v>56</v>
      </c>
      <c r="M275" s="29" t="str">
        <f t="shared" si="21"/>
        <v>⚠ Check</v>
      </c>
      <c r="N275" s="43">
        <v>46193</v>
      </c>
      <c r="O275" s="26" t="s">
        <v>55</v>
      </c>
      <c r="P275" s="26" t="s">
        <v>56</v>
      </c>
      <c r="Q275" s="26" t="s">
        <v>57</v>
      </c>
      <c r="R275" s="26" t="s">
        <v>149</v>
      </c>
      <c r="S275" s="26" t="s">
        <v>57</v>
      </c>
      <c r="T275" s="27" t="s">
        <v>150</v>
      </c>
      <c r="U275" s="28" t="s">
        <v>56</v>
      </c>
      <c r="V275" s="29" t="str">
        <f t="shared" si="25"/>
        <v>⚠ Check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280</v>
      </c>
      <c r="B276" s="40" t="s">
        <v>608</v>
      </c>
      <c r="C276" s="41" t="s">
        <v>609</v>
      </c>
      <c r="D276" s="39" t="s">
        <v>185</v>
      </c>
      <c r="E276" s="43">
        <v>46125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1"/>
        <v>✓ OK</v>
      </c>
      <c r="N276" s="43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5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281</v>
      </c>
      <c r="B277" s="24" t="s">
        <v>610</v>
      </c>
      <c r="C277" s="25" t="s">
        <v>611</v>
      </c>
      <c r="D277" s="23" t="s">
        <v>185</v>
      </c>
      <c r="E277" s="43">
        <v>46125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 t="s">
        <v>240</v>
      </c>
      <c r="L277" s="28" t="s">
        <v>56</v>
      </c>
      <c r="M277" s="29" t="str">
        <f t="shared" si="21"/>
        <v>✓ OK</v>
      </c>
      <c r="N277" s="43">
        <v>46193</v>
      </c>
      <c r="O277" s="26" t="s">
        <v>55</v>
      </c>
      <c r="P277" s="26" t="s">
        <v>57</v>
      </c>
      <c r="Q277" s="26" t="s">
        <v>56</v>
      </c>
      <c r="R277" s="26" t="s">
        <v>6225</v>
      </c>
      <c r="S277" s="26" t="s">
        <v>57</v>
      </c>
      <c r="T277" s="27"/>
      <c r="U277" s="28" t="s">
        <v>56</v>
      </c>
      <c r="V277" s="29" t="str">
        <f t="shared" si="25"/>
        <v>❌ Disc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282</v>
      </c>
      <c r="B278" s="40" t="s">
        <v>612</v>
      </c>
      <c r="C278" s="41" t="s">
        <v>613</v>
      </c>
      <c r="D278" s="39" t="s">
        <v>185</v>
      </c>
      <c r="E278" s="43">
        <v>46125</v>
      </c>
      <c r="F278" s="26" t="s">
        <v>55</v>
      </c>
      <c r="G278" s="26" t="s">
        <v>56</v>
      </c>
      <c r="H278" s="26" t="s">
        <v>57</v>
      </c>
      <c r="I278" s="26" t="s">
        <v>149</v>
      </c>
      <c r="J278" s="26" t="s">
        <v>57</v>
      </c>
      <c r="K278" s="27" t="s">
        <v>150</v>
      </c>
      <c r="L278" s="28" t="s">
        <v>56</v>
      </c>
      <c r="M278" s="29" t="str">
        <f t="shared" si="21"/>
        <v>⚠ Check</v>
      </c>
      <c r="N278" s="43">
        <v>46193</v>
      </c>
      <c r="O278" s="26" t="s">
        <v>55</v>
      </c>
      <c r="P278" s="26" t="s">
        <v>57</v>
      </c>
      <c r="Q278" s="26" t="s">
        <v>56</v>
      </c>
      <c r="R278" s="26" t="s">
        <v>6225</v>
      </c>
      <c r="S278" s="26" t="s">
        <v>57</v>
      </c>
      <c r="T278" s="27"/>
      <c r="U278" s="28" t="s">
        <v>56</v>
      </c>
      <c r="V278" s="29" t="str">
        <f t="shared" si="25"/>
        <v>❌ Disc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283</v>
      </c>
      <c r="B279" s="24" t="s">
        <v>614</v>
      </c>
      <c r="C279" s="25" t="s">
        <v>615</v>
      </c>
      <c r="D279" s="23" t="s">
        <v>185</v>
      </c>
      <c r="E279" s="43">
        <v>46125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1"/>
        <v>✓ OK</v>
      </c>
      <c r="N279" s="43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5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284</v>
      </c>
      <c r="B280" s="40" t="s">
        <v>616</v>
      </c>
      <c r="C280" s="41" t="s">
        <v>617</v>
      </c>
      <c r="D280" s="39" t="s">
        <v>185</v>
      </c>
      <c r="E280" s="43">
        <v>46125</v>
      </c>
      <c r="F280" s="26" t="s">
        <v>55</v>
      </c>
      <c r="G280" s="26" t="s">
        <v>56</v>
      </c>
      <c r="H280" s="26" t="s">
        <v>57</v>
      </c>
      <c r="I280" s="26" t="s">
        <v>149</v>
      </c>
      <c r="J280" s="26" t="s">
        <v>57</v>
      </c>
      <c r="K280" s="27" t="s">
        <v>269</v>
      </c>
      <c r="L280" s="28" t="s">
        <v>56</v>
      </c>
      <c r="M280" s="29" t="str">
        <f t="shared" si="21"/>
        <v>⚠ Check</v>
      </c>
      <c r="N280" s="43">
        <v>46193</v>
      </c>
      <c r="O280" s="26" t="s">
        <v>55</v>
      </c>
      <c r="P280" s="26" t="s">
        <v>56</v>
      </c>
      <c r="Q280" s="26" t="s">
        <v>57</v>
      </c>
      <c r="R280" s="26" t="s">
        <v>149</v>
      </c>
      <c r="S280" s="26" t="s">
        <v>57</v>
      </c>
      <c r="T280" s="27" t="s">
        <v>269</v>
      </c>
      <c r="U280" s="28" t="s">
        <v>56</v>
      </c>
      <c r="V280" s="29" t="str">
        <f t="shared" si="25"/>
        <v>⚠ Check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285</v>
      </c>
      <c r="B281" s="24" t="s">
        <v>618</v>
      </c>
      <c r="C281" s="25" t="s">
        <v>619</v>
      </c>
      <c r="D281" s="23" t="s">
        <v>185</v>
      </c>
      <c r="E281" s="43">
        <v>46125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1"/>
        <v>✓ OK</v>
      </c>
      <c r="N281" s="43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5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286</v>
      </c>
      <c r="B282" s="40" t="s">
        <v>620</v>
      </c>
      <c r="C282" s="41" t="s">
        <v>621</v>
      </c>
      <c r="D282" s="39" t="s">
        <v>185</v>
      </c>
      <c r="E282" s="43">
        <v>46125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1"/>
        <v>✓ OK</v>
      </c>
      <c r="N282" s="43">
        <v>46193</v>
      </c>
      <c r="O282" s="26" t="s">
        <v>55</v>
      </c>
      <c r="P282" s="26" t="s">
        <v>57</v>
      </c>
      <c r="Q282" s="26" t="s">
        <v>56</v>
      </c>
      <c r="R282" s="26" t="s">
        <v>6225</v>
      </c>
      <c r="S282" s="26" t="s">
        <v>57</v>
      </c>
      <c r="T282" s="27"/>
      <c r="U282" s="28" t="s">
        <v>57</v>
      </c>
      <c r="V282" s="29" t="str">
        <f t="shared" si="25"/>
        <v>❌ Disc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287</v>
      </c>
      <c r="B283" s="24" t="s">
        <v>622</v>
      </c>
      <c r="C283" s="25" t="s">
        <v>623</v>
      </c>
      <c r="D283" s="23" t="s">
        <v>185</v>
      </c>
      <c r="E283" s="43">
        <v>46125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 t="s">
        <v>240</v>
      </c>
      <c r="L283" s="28" t="s">
        <v>57</v>
      </c>
      <c r="M283" s="29" t="str">
        <f t="shared" si="21"/>
        <v>✓ OK</v>
      </c>
      <c r="N283" s="43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 t="s">
        <v>240</v>
      </c>
      <c r="U283" s="28" t="s">
        <v>57</v>
      </c>
      <c r="V283" s="29" t="str">
        <f t="shared" si="25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288</v>
      </c>
      <c r="B284" s="40" t="s">
        <v>624</v>
      </c>
      <c r="C284" s="41" t="s">
        <v>625</v>
      </c>
      <c r="D284" s="39" t="s">
        <v>185</v>
      </c>
      <c r="E284" s="43">
        <v>46125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 t="s">
        <v>240</v>
      </c>
      <c r="L284" s="28" t="s">
        <v>56</v>
      </c>
      <c r="M284" s="29" t="str">
        <f t="shared" si="21"/>
        <v>✓ OK</v>
      </c>
      <c r="N284" s="43">
        <v>46193</v>
      </c>
      <c r="O284" s="26" t="s">
        <v>55</v>
      </c>
      <c r="P284" s="26" t="s">
        <v>57</v>
      </c>
      <c r="Q284" s="26" t="s">
        <v>56</v>
      </c>
      <c r="R284" s="26" t="s">
        <v>6225</v>
      </c>
      <c r="S284" s="26" t="s">
        <v>57</v>
      </c>
      <c r="T284" s="27"/>
      <c r="U284" s="28" t="s">
        <v>56</v>
      </c>
      <c r="V284" s="29" t="str">
        <f t="shared" si="25"/>
        <v>❌ Disc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289</v>
      </c>
      <c r="B285" s="24" t="s">
        <v>626</v>
      </c>
      <c r="C285" s="25" t="s">
        <v>627</v>
      </c>
      <c r="D285" s="23" t="s">
        <v>185</v>
      </c>
      <c r="E285" s="43">
        <v>46125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 t="s">
        <v>240</v>
      </c>
      <c r="L285" s="28" t="s">
        <v>56</v>
      </c>
      <c r="M285" s="29" t="str">
        <f t="shared" si="21"/>
        <v>✓ OK</v>
      </c>
      <c r="N285" s="43">
        <v>46193</v>
      </c>
      <c r="O285" s="26" t="s">
        <v>55</v>
      </c>
      <c r="P285" s="26" t="s">
        <v>57</v>
      </c>
      <c r="Q285" s="26" t="s">
        <v>56</v>
      </c>
      <c r="R285" s="26" t="s">
        <v>6225</v>
      </c>
      <c r="S285" s="26" t="s">
        <v>57</v>
      </c>
      <c r="T285" s="27"/>
      <c r="U285" s="28" t="s">
        <v>56</v>
      </c>
      <c r="V285" s="29" t="str">
        <f t="shared" si="25"/>
        <v>❌ Disc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290</v>
      </c>
      <c r="B286" s="40" t="s">
        <v>628</v>
      </c>
      <c r="C286" s="41" t="s">
        <v>629</v>
      </c>
      <c r="D286" s="39" t="s">
        <v>185</v>
      </c>
      <c r="E286" s="43">
        <v>46125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1"/>
        <v>✓ OK</v>
      </c>
      <c r="N286" s="43">
        <v>46193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5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291</v>
      </c>
      <c r="B287" s="24" t="s">
        <v>630</v>
      </c>
      <c r="C287" s="25" t="s">
        <v>631</v>
      </c>
      <c r="D287" s="23" t="s">
        <v>185</v>
      </c>
      <c r="E287" s="43">
        <v>46125</v>
      </c>
      <c r="F287" s="26" t="s">
        <v>55</v>
      </c>
      <c r="G287" s="26" t="s">
        <v>56</v>
      </c>
      <c r="H287" s="26" t="s">
        <v>57</v>
      </c>
      <c r="I287" s="26" t="s">
        <v>149</v>
      </c>
      <c r="J287" s="26" t="s">
        <v>57</v>
      </c>
      <c r="K287" s="27" t="s">
        <v>158</v>
      </c>
      <c r="L287" s="28" t="s">
        <v>56</v>
      </c>
      <c r="M287" s="29" t="str">
        <f t="shared" si="21"/>
        <v>⚠ Check</v>
      </c>
      <c r="N287" s="43">
        <v>46193</v>
      </c>
      <c r="O287" s="26" t="s">
        <v>55</v>
      </c>
      <c r="P287" s="26" t="s">
        <v>56</v>
      </c>
      <c r="Q287" s="26" t="s">
        <v>57</v>
      </c>
      <c r="R287" s="26" t="s">
        <v>149</v>
      </c>
      <c r="S287" s="26" t="s">
        <v>57</v>
      </c>
      <c r="T287" s="27" t="s">
        <v>158</v>
      </c>
      <c r="U287" s="28" t="s">
        <v>56</v>
      </c>
      <c r="V287" s="29" t="str">
        <f t="shared" si="25"/>
        <v>⚠ Check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292</v>
      </c>
      <c r="B288" s="40" t="s">
        <v>632</v>
      </c>
      <c r="C288" s="41" t="s">
        <v>633</v>
      </c>
      <c r="D288" s="39" t="s">
        <v>185</v>
      </c>
      <c r="E288" s="43">
        <v>46125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 t="s">
        <v>240</v>
      </c>
      <c r="L288" s="28" t="s">
        <v>56</v>
      </c>
      <c r="M288" s="29" t="str">
        <f t="shared" si="21"/>
        <v>✓ OK</v>
      </c>
      <c r="N288" s="43">
        <v>46193</v>
      </c>
      <c r="O288" s="26" t="s">
        <v>55</v>
      </c>
      <c r="P288" s="26" t="s">
        <v>57</v>
      </c>
      <c r="Q288" s="26" t="s">
        <v>56</v>
      </c>
      <c r="R288" s="26" t="s">
        <v>6225</v>
      </c>
      <c r="S288" s="26" t="s">
        <v>57</v>
      </c>
      <c r="T288" s="27"/>
      <c r="U288" s="28" t="s">
        <v>56</v>
      </c>
      <c r="V288" s="29" t="str">
        <f t="shared" si="25"/>
        <v>❌ Disc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</sheetData>
  <autoFilter ref="A4:AW288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88">
    <cfRule type="expression" dxfId="713" priority="46">
      <formula>MOD(ROW(),2)=0</formula>
    </cfRule>
  </conditionalFormatting>
  <conditionalFormatting sqref="G5:G288 J5:J288 Y5:Y288 AB5:AB288 AH5:AH288 AK5:AK288 AQ5:AQ288 AT5:AT288 P5:P288 S5:S288">
    <cfRule type="expression" dxfId="712" priority="5">
      <formula>G5="Yes"</formula>
    </cfRule>
    <cfRule type="expression" dxfId="711" priority="6">
      <formula>G5="No"</formula>
    </cfRule>
  </conditionalFormatting>
  <conditionalFormatting sqref="H5:H288 Z5:Z288 AI5:AI288 AR5:AR288 Q5:Q288">
    <cfRule type="expression" dxfId="710" priority="7">
      <formula>H5="Yes"</formula>
    </cfRule>
  </conditionalFormatting>
  <conditionalFormatting sqref="M5:M288 AE5:AE288 AN5:AN288 AW5:AW288 V5:V288">
    <cfRule type="expression" dxfId="709" priority="1">
      <formula>M5="✓ OK"</formula>
    </cfRule>
    <cfRule type="expression" dxfId="708" priority="2">
      <formula>M5="❌ Disc"</formula>
    </cfRule>
    <cfRule type="expression" dxfId="707" priority="3">
      <formula>M5="⚠ Missing"</formula>
    </cfRule>
    <cfRule type="expression" dxfId="706" priority="4">
      <formula>M5="⚠ Check"</formula>
    </cfRule>
  </conditionalFormatting>
  <dataValidations count="2">
    <dataValidation type="list" allowBlank="1" sqref="G5:H288 J5:J288 AQ5:AR288 AT5:AT288 Y5:Z288 AB5:AB288 AH5:AI288 AK5:AK288 P5:Q288 S5:S288" xr:uid="{00000000-0002-0000-0100-000000000000}">
      <formula1>"Yes,No"</formula1>
    </dataValidation>
    <dataValidation type="list" allowBlank="1" sqref="I5:I288 AA5:AA288 AJ5:AJ288 AS5:AS288 R5:R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634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635</v>
      </c>
      <c r="C5" s="25" t="s">
        <v>636</v>
      </c>
      <c r="D5" s="23" t="s">
        <v>637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3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7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638</v>
      </c>
      <c r="C6" s="41" t="s">
        <v>639</v>
      </c>
      <c r="D6" s="39" t="s">
        <v>637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640</v>
      </c>
      <c r="C7" s="25" t="s">
        <v>641</v>
      </c>
      <c r="D7" s="23" t="s">
        <v>637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642</v>
      </c>
      <c r="C8" s="41" t="s">
        <v>643</v>
      </c>
      <c r="D8" s="39" t="s">
        <v>637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644</v>
      </c>
      <c r="C9" s="25" t="s">
        <v>645</v>
      </c>
      <c r="D9" s="23" t="s">
        <v>637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646</v>
      </c>
      <c r="C10" s="41" t="s">
        <v>647</v>
      </c>
      <c r="D10" s="39" t="s">
        <v>637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648</v>
      </c>
      <c r="C11" s="25" t="s">
        <v>649</v>
      </c>
      <c r="D11" s="23" t="s">
        <v>637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650</v>
      </c>
      <c r="C12" s="41" t="s">
        <v>651</v>
      </c>
      <c r="D12" s="39" t="s">
        <v>637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652</v>
      </c>
      <c r="C13" s="25" t="s">
        <v>653</v>
      </c>
      <c r="D13" s="23" t="s">
        <v>637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654</v>
      </c>
      <c r="C14" s="41" t="s">
        <v>655</v>
      </c>
      <c r="D14" s="39" t="s">
        <v>637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656</v>
      </c>
      <c r="C15" s="25" t="s">
        <v>657</v>
      </c>
      <c r="D15" s="23" t="s">
        <v>637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658</v>
      </c>
      <c r="C16" s="41" t="s">
        <v>659</v>
      </c>
      <c r="D16" s="39" t="s">
        <v>637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660</v>
      </c>
      <c r="C17" s="25" t="s">
        <v>661</v>
      </c>
      <c r="D17" s="23" t="s">
        <v>637</v>
      </c>
      <c r="E17" s="43">
        <v>46125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662</v>
      </c>
      <c r="C18" s="41" t="s">
        <v>663</v>
      </c>
      <c r="D18" s="39" t="s">
        <v>637</v>
      </c>
      <c r="E18" s="43">
        <v>46125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664</v>
      </c>
      <c r="C19" s="25" t="s">
        <v>665</v>
      </c>
      <c r="D19" s="23" t="s">
        <v>637</v>
      </c>
      <c r="E19" s="43">
        <v>46125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666</v>
      </c>
      <c r="C20" s="41" t="s">
        <v>667</v>
      </c>
      <c r="D20" s="39" t="s">
        <v>637</v>
      </c>
      <c r="E20" s="43">
        <v>46125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668</v>
      </c>
      <c r="C21" s="25" t="s">
        <v>669</v>
      </c>
      <c r="D21" s="23" t="s">
        <v>637</v>
      </c>
      <c r="E21" s="43">
        <v>46125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670</v>
      </c>
      <c r="C22" s="41" t="s">
        <v>671</v>
      </c>
      <c r="D22" s="39" t="s">
        <v>637</v>
      </c>
      <c r="E22" s="43">
        <v>46125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672</v>
      </c>
      <c r="C23" s="25" t="s">
        <v>673</v>
      </c>
      <c r="D23" s="23" t="s">
        <v>637</v>
      </c>
      <c r="E23" s="43">
        <v>46125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674</v>
      </c>
      <c r="C24" s="41" t="s">
        <v>675</v>
      </c>
      <c r="D24" s="39" t="s">
        <v>637</v>
      </c>
      <c r="E24" s="43">
        <v>46125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676</v>
      </c>
      <c r="C25" s="25" t="s">
        <v>677</v>
      </c>
      <c r="D25" s="23" t="s">
        <v>637</v>
      </c>
      <c r="E25" s="43">
        <v>46125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678</v>
      </c>
      <c r="C26" s="41" t="s">
        <v>679</v>
      </c>
      <c r="D26" s="39" t="s">
        <v>637</v>
      </c>
      <c r="E26" s="43">
        <v>46125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680</v>
      </c>
      <c r="C27" s="25" t="s">
        <v>681</v>
      </c>
      <c r="D27" s="23" t="s">
        <v>637</v>
      </c>
      <c r="E27" s="43">
        <v>46125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682</v>
      </c>
      <c r="C28" s="41" t="s">
        <v>683</v>
      </c>
      <c r="D28" s="39" t="s">
        <v>637</v>
      </c>
      <c r="E28" s="43">
        <v>46125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684</v>
      </c>
      <c r="C29" s="25" t="s">
        <v>685</v>
      </c>
      <c r="D29" s="23" t="s">
        <v>686</v>
      </c>
      <c r="E29" s="43">
        <v>46125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687</v>
      </c>
      <c r="C30" s="41" t="s">
        <v>688</v>
      </c>
      <c r="D30" s="39" t="s">
        <v>686</v>
      </c>
      <c r="E30" s="43">
        <v>46125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689</v>
      </c>
      <c r="C31" s="25" t="s">
        <v>690</v>
      </c>
      <c r="D31" s="23" t="s">
        <v>686</v>
      </c>
      <c r="E31" s="43">
        <v>46125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691</v>
      </c>
      <c r="C32" s="41" t="s">
        <v>692</v>
      </c>
      <c r="D32" s="39" t="s">
        <v>686</v>
      </c>
      <c r="E32" s="43">
        <v>46125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693</v>
      </c>
      <c r="C33" s="25" t="s">
        <v>694</v>
      </c>
      <c r="D33" s="23" t="s">
        <v>686</v>
      </c>
      <c r="E33" s="43">
        <v>46125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695</v>
      </c>
      <c r="C34" s="41" t="s">
        <v>696</v>
      </c>
      <c r="D34" s="39" t="s">
        <v>686</v>
      </c>
      <c r="E34" s="43">
        <v>46125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697</v>
      </c>
      <c r="C35" s="25" t="s">
        <v>698</v>
      </c>
      <c r="D35" s="23" t="s">
        <v>686</v>
      </c>
      <c r="E35" s="43">
        <v>46125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699</v>
      </c>
      <c r="C36" s="41" t="s">
        <v>700</v>
      </c>
      <c r="D36" s="39" t="s">
        <v>686</v>
      </c>
      <c r="E36" s="43">
        <v>46125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701</v>
      </c>
      <c r="C37" s="25" t="s">
        <v>702</v>
      </c>
      <c r="D37" s="23" t="s">
        <v>686</v>
      </c>
      <c r="E37" s="43">
        <v>46125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43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7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703</v>
      </c>
      <c r="C38" s="41" t="s">
        <v>704</v>
      </c>
      <c r="D38" s="39" t="s">
        <v>686</v>
      </c>
      <c r="E38" s="43">
        <v>46125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3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705</v>
      </c>
      <c r="C39" s="25" t="s">
        <v>706</v>
      </c>
      <c r="D39" s="23" t="s">
        <v>686</v>
      </c>
      <c r="E39" s="43">
        <v>46125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3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707</v>
      </c>
      <c r="C40" s="41" t="s">
        <v>708</v>
      </c>
      <c r="D40" s="39" t="s">
        <v>686</v>
      </c>
      <c r="E40" s="43">
        <v>46125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3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709</v>
      </c>
      <c r="C41" s="25" t="s">
        <v>710</v>
      </c>
      <c r="D41" s="23" t="s">
        <v>686</v>
      </c>
      <c r="E41" s="43">
        <v>46125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3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711</v>
      </c>
      <c r="C42" s="41" t="s">
        <v>712</v>
      </c>
      <c r="D42" s="39" t="s">
        <v>686</v>
      </c>
      <c r="E42" s="43">
        <v>46125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3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713</v>
      </c>
      <c r="C43" s="25" t="s">
        <v>714</v>
      </c>
      <c r="D43" s="23" t="s">
        <v>686</v>
      </c>
      <c r="E43" s="43">
        <v>46125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3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715</v>
      </c>
      <c r="C44" s="41" t="s">
        <v>716</v>
      </c>
      <c r="D44" s="39" t="s">
        <v>686</v>
      </c>
      <c r="E44" s="43">
        <v>46125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3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717</v>
      </c>
      <c r="C45" s="25" t="s">
        <v>718</v>
      </c>
      <c r="D45" s="23" t="s">
        <v>686</v>
      </c>
      <c r="E45" s="43">
        <v>46125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3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719</v>
      </c>
      <c r="C46" s="41" t="s">
        <v>720</v>
      </c>
      <c r="D46" s="39" t="s">
        <v>686</v>
      </c>
      <c r="E46" s="43">
        <v>46125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3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721</v>
      </c>
      <c r="C47" s="25" t="s">
        <v>722</v>
      </c>
      <c r="D47" s="23" t="s">
        <v>686</v>
      </c>
      <c r="E47" s="43">
        <v>46125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3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723</v>
      </c>
      <c r="C48" s="41" t="s">
        <v>724</v>
      </c>
      <c r="D48" s="39" t="s">
        <v>686</v>
      </c>
      <c r="E48" s="43">
        <v>46125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3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725</v>
      </c>
      <c r="C49" s="25" t="s">
        <v>726</v>
      </c>
      <c r="D49" s="23" t="s">
        <v>686</v>
      </c>
      <c r="E49" s="43">
        <v>46125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3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727</v>
      </c>
      <c r="C50" s="41" t="s">
        <v>728</v>
      </c>
      <c r="D50" s="39" t="s">
        <v>686</v>
      </c>
      <c r="E50" s="43">
        <v>46125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3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729</v>
      </c>
      <c r="C51" s="25" t="s">
        <v>730</v>
      </c>
      <c r="D51" s="23" t="s">
        <v>686</v>
      </c>
      <c r="E51" s="43">
        <v>46125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3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731</v>
      </c>
      <c r="C52" s="41" t="s">
        <v>732</v>
      </c>
      <c r="D52" s="39" t="s">
        <v>686</v>
      </c>
      <c r="E52" s="43">
        <v>46125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3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733</v>
      </c>
      <c r="C53" s="25" t="s">
        <v>734</v>
      </c>
      <c r="D53" s="23" t="s">
        <v>686</v>
      </c>
      <c r="E53" s="43">
        <v>46125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3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735</v>
      </c>
      <c r="C54" s="41" t="s">
        <v>736</v>
      </c>
      <c r="D54" s="39" t="s">
        <v>686</v>
      </c>
      <c r="E54" s="43">
        <v>46125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3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737</v>
      </c>
      <c r="C55" s="25" t="s">
        <v>738</v>
      </c>
      <c r="D55" s="23" t="s">
        <v>686</v>
      </c>
      <c r="E55" s="43">
        <v>46125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3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739</v>
      </c>
      <c r="C56" s="41" t="s">
        <v>740</v>
      </c>
      <c r="D56" s="39" t="s">
        <v>686</v>
      </c>
      <c r="E56" s="43">
        <v>46125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3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741</v>
      </c>
      <c r="C57" s="25" t="s">
        <v>742</v>
      </c>
      <c r="D57" s="23" t="s">
        <v>686</v>
      </c>
      <c r="E57" s="43">
        <v>46125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3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743</v>
      </c>
      <c r="C58" s="41" t="s">
        <v>744</v>
      </c>
      <c r="D58" s="39" t="s">
        <v>686</v>
      </c>
      <c r="E58" s="43">
        <v>46125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3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745</v>
      </c>
      <c r="C59" s="25" t="s">
        <v>746</v>
      </c>
      <c r="D59" s="23" t="s">
        <v>686</v>
      </c>
      <c r="E59" s="43">
        <v>46125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3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747</v>
      </c>
      <c r="C60" s="41" t="s">
        <v>748</v>
      </c>
      <c r="D60" s="39" t="s">
        <v>686</v>
      </c>
      <c r="E60" s="43">
        <v>46125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3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749</v>
      </c>
      <c r="C61" s="25" t="s">
        <v>750</v>
      </c>
      <c r="D61" s="23" t="s">
        <v>686</v>
      </c>
      <c r="E61" s="43">
        <v>46125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3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751</v>
      </c>
      <c r="C62" s="41" t="s">
        <v>752</v>
      </c>
      <c r="D62" s="39" t="s">
        <v>686</v>
      </c>
      <c r="E62" s="43">
        <v>46125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3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753</v>
      </c>
      <c r="C63" s="25" t="s">
        <v>754</v>
      </c>
      <c r="D63" s="23" t="s">
        <v>686</v>
      </c>
      <c r="E63" s="43">
        <v>46125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3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755</v>
      </c>
      <c r="C64" s="41" t="s">
        <v>756</v>
      </c>
      <c r="D64" s="39" t="s">
        <v>686</v>
      </c>
      <c r="E64" s="43">
        <v>46125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3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757</v>
      </c>
      <c r="C65" s="25" t="s">
        <v>758</v>
      </c>
      <c r="D65" s="23" t="s">
        <v>686</v>
      </c>
      <c r="E65" s="43">
        <v>46125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3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759</v>
      </c>
      <c r="C66" s="41" t="s">
        <v>760</v>
      </c>
      <c r="D66" s="39" t="s">
        <v>686</v>
      </c>
      <c r="E66" s="43">
        <v>46125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3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761</v>
      </c>
      <c r="C67" s="25" t="s">
        <v>762</v>
      </c>
      <c r="D67" s="23" t="s">
        <v>686</v>
      </c>
      <c r="E67" s="43">
        <v>46125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3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67 O5:AW67">
    <cfRule type="expression" dxfId="705" priority="56">
      <formula>MOD(ROW(),2)=0</formula>
    </cfRule>
  </conditionalFormatting>
  <conditionalFormatting sqref="G5:G67">
    <cfRule type="expression" dxfId="704" priority="16">
      <formula>G5="No"</formula>
    </cfRule>
    <cfRule type="expression" dxfId="703" priority="15">
      <formula>G5="Yes"</formula>
    </cfRule>
  </conditionalFormatting>
  <conditionalFormatting sqref="H5:H67">
    <cfRule type="expression" dxfId="702" priority="17">
      <formula>H5="Yes"</formula>
    </cfRule>
  </conditionalFormatting>
  <conditionalFormatting sqref="J5:J67">
    <cfRule type="expression" dxfId="701" priority="18">
      <formula>J5="Yes"</formula>
    </cfRule>
    <cfRule type="expression" dxfId="700" priority="19">
      <formula>J5="No"</formula>
    </cfRule>
  </conditionalFormatting>
  <conditionalFormatting sqref="M5:M67">
    <cfRule type="expression" dxfId="699" priority="12">
      <formula>M5="❌ Disc"</formula>
    </cfRule>
    <cfRule type="expression" dxfId="698" priority="13">
      <formula>M5="⚠ Missing"</formula>
    </cfRule>
    <cfRule type="expression" dxfId="697" priority="14">
      <formula>M5="⚠ Check"</formula>
    </cfRule>
    <cfRule type="expression" dxfId="696" priority="11">
      <formula>M5="✓ OK"</formula>
    </cfRule>
  </conditionalFormatting>
  <conditionalFormatting sqref="P5:P67">
    <cfRule type="expression" dxfId="695" priority="24">
      <formula>P5="Yes"</formula>
    </cfRule>
    <cfRule type="expression" dxfId="694" priority="25">
      <formula>P5="No"</formula>
    </cfRule>
  </conditionalFormatting>
  <conditionalFormatting sqref="Q5:Q67">
    <cfRule type="expression" dxfId="693" priority="26">
      <formula>Q5="Yes"</formula>
    </cfRule>
  </conditionalFormatting>
  <conditionalFormatting sqref="S5:S67">
    <cfRule type="expression" dxfId="692" priority="27">
      <formula>S5="Yes"</formula>
    </cfRule>
    <cfRule type="expression" dxfId="691" priority="28">
      <formula>S5="No"</formula>
    </cfRule>
  </conditionalFormatting>
  <conditionalFormatting sqref="V5:V67">
    <cfRule type="expression" dxfId="690" priority="20">
      <formula>V5="✓ OK"</formula>
    </cfRule>
    <cfRule type="expression" dxfId="689" priority="21">
      <formula>V5="❌ Disc"</formula>
    </cfRule>
    <cfRule type="expression" dxfId="688" priority="22">
      <formula>V5="⚠ Missing"</formula>
    </cfRule>
    <cfRule type="expression" dxfId="687" priority="23">
      <formula>V5="⚠ Check"</formula>
    </cfRule>
  </conditionalFormatting>
  <conditionalFormatting sqref="Y5:Y67">
    <cfRule type="expression" dxfId="686" priority="34">
      <formula>Y5="No"</formula>
    </cfRule>
    <cfRule type="expression" dxfId="685" priority="33">
      <formula>Y5="Yes"</formula>
    </cfRule>
  </conditionalFormatting>
  <conditionalFormatting sqref="Z5:Z67">
    <cfRule type="expression" dxfId="684" priority="35">
      <formula>Z5="Yes"</formula>
    </cfRule>
  </conditionalFormatting>
  <conditionalFormatting sqref="AB5:AB67">
    <cfRule type="expression" dxfId="683" priority="36">
      <formula>AB5="Yes"</formula>
    </cfRule>
    <cfRule type="expression" dxfId="682" priority="37">
      <formula>AB5="No"</formula>
    </cfRule>
  </conditionalFormatting>
  <conditionalFormatting sqref="AE5:AE67">
    <cfRule type="expression" dxfId="681" priority="30">
      <formula>AE5="❌ Disc"</formula>
    </cfRule>
    <cfRule type="expression" dxfId="680" priority="31">
      <formula>AE5="⚠ Missing"</formula>
    </cfRule>
    <cfRule type="expression" dxfId="679" priority="32">
      <formula>AE5="⚠ Check"</formula>
    </cfRule>
    <cfRule type="expression" dxfId="678" priority="29">
      <formula>AE5="✓ OK"</formula>
    </cfRule>
  </conditionalFormatting>
  <conditionalFormatting sqref="AH5:AH67">
    <cfRule type="expression" dxfId="677" priority="42">
      <formula>AH5="Yes"</formula>
    </cfRule>
    <cfRule type="expression" dxfId="676" priority="43">
      <formula>AH5="No"</formula>
    </cfRule>
  </conditionalFormatting>
  <conditionalFormatting sqref="AI5:AI67">
    <cfRule type="expression" dxfId="675" priority="44">
      <formula>AI5="Yes"</formula>
    </cfRule>
  </conditionalFormatting>
  <conditionalFormatting sqref="AK5:AK67">
    <cfRule type="expression" dxfId="674" priority="45">
      <formula>AK5="Yes"</formula>
    </cfRule>
    <cfRule type="expression" dxfId="673" priority="46">
      <formula>AK5="No"</formula>
    </cfRule>
  </conditionalFormatting>
  <conditionalFormatting sqref="AN5:AN67">
    <cfRule type="expression" dxfId="672" priority="39">
      <formula>AN5="❌ Disc"</formula>
    </cfRule>
    <cfRule type="expression" dxfId="671" priority="40">
      <formula>AN5="⚠ Missing"</formula>
    </cfRule>
    <cfRule type="expression" dxfId="670" priority="41">
      <formula>AN5="⚠ Check"</formula>
    </cfRule>
    <cfRule type="expression" dxfId="669" priority="38">
      <formula>AN5="✓ OK"</formula>
    </cfRule>
  </conditionalFormatting>
  <conditionalFormatting sqref="AQ5:AQ67">
    <cfRule type="expression" dxfId="668" priority="52">
      <formula>AQ5="No"</formula>
    </cfRule>
    <cfRule type="expression" dxfId="667" priority="51">
      <formula>AQ5="Yes"</formula>
    </cfRule>
  </conditionalFormatting>
  <conditionalFormatting sqref="AR5:AR67">
    <cfRule type="expression" dxfId="666" priority="53">
      <formula>AR5="Yes"</formula>
    </cfRule>
  </conditionalFormatting>
  <conditionalFormatting sqref="AT5:AT67">
    <cfRule type="expression" dxfId="665" priority="54">
      <formula>AT5="Yes"</formula>
    </cfRule>
    <cfRule type="expression" dxfId="664" priority="55">
      <formula>AT5="No"</formula>
    </cfRule>
  </conditionalFormatting>
  <conditionalFormatting sqref="AW5:AW67">
    <cfRule type="expression" dxfId="663" priority="47">
      <formula>AW5="✓ OK"</formula>
    </cfRule>
    <cfRule type="expression" dxfId="662" priority="48">
      <formula>AW5="❌ Disc"</formula>
    </cfRule>
    <cfRule type="expression" dxfId="661" priority="49">
      <formula>AW5="⚠ Missing"</formula>
    </cfRule>
    <cfRule type="expression" dxfId="660" priority="50">
      <formula>AW5="⚠ Check"</formula>
    </cfRule>
  </conditionalFormatting>
  <conditionalFormatting sqref="P5:P67">
    <cfRule type="expression" dxfId="152" priority="6">
      <formula>P5="Yes"</formula>
    </cfRule>
    <cfRule type="expression" dxfId="153" priority="7">
      <formula>P5="No"</formula>
    </cfRule>
  </conditionalFormatting>
  <conditionalFormatting sqref="Q5:Q67">
    <cfRule type="expression" dxfId="151" priority="8">
      <formula>Q5="Yes"</formula>
    </cfRule>
  </conditionalFormatting>
  <conditionalFormatting sqref="S5:S67">
    <cfRule type="expression" dxfId="150" priority="9">
      <formula>S5="Yes"</formula>
    </cfRule>
    <cfRule type="expression" dxfId="149" priority="10">
      <formula>S5="No"</formula>
    </cfRule>
  </conditionalFormatting>
  <conditionalFormatting sqref="V5:V67">
    <cfRule type="expression" dxfId="145" priority="2">
      <formula>V5="✓ OK"</formula>
    </cfRule>
    <cfRule type="expression" dxfId="148" priority="3">
      <formula>V5="❌ Disc"</formula>
    </cfRule>
    <cfRule type="expression" dxfId="147" priority="4">
      <formula>V5="⚠ Missing"</formula>
    </cfRule>
    <cfRule type="expression" dxfId="146" priority="5">
      <formula>V5="⚠ Check"</formula>
    </cfRule>
  </conditionalFormatting>
  <conditionalFormatting sqref="N5:N67">
    <cfRule type="expression" dxfId="144" priority="1">
      <formula>MOD(ROW(),2)=0</formula>
    </cfRule>
  </conditionalFormatting>
  <dataValidations count="2">
    <dataValidation type="list" allowBlank="1" sqref="AT5:AT67 AQ5:AR67 AK5:AK67 AH5:AI67 AB5:AB67 Y5:Z67 G5:H67 J5:J67 P5:Q67 S5:S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763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764</v>
      </c>
      <c r="C5" s="25" t="s">
        <v>765</v>
      </c>
      <c r="D5" s="23" t="s">
        <v>766</v>
      </c>
      <c r="E5" s="43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 t="s">
        <v>767</v>
      </c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3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 t="s">
        <v>767</v>
      </c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768</v>
      </c>
      <c r="C6" s="41" t="s">
        <v>769</v>
      </c>
      <c r="D6" s="39" t="s">
        <v>766</v>
      </c>
      <c r="E6" s="43">
        <v>46126</v>
      </c>
      <c r="F6" s="26" t="s">
        <v>55</v>
      </c>
      <c r="G6" s="44" t="s">
        <v>770</v>
      </c>
      <c r="H6" s="26" t="s">
        <v>57</v>
      </c>
      <c r="I6" s="44" t="s">
        <v>770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46193</v>
      </c>
      <c r="O6" s="26" t="s">
        <v>55</v>
      </c>
      <c r="P6" s="44" t="s">
        <v>770</v>
      </c>
      <c r="Q6" s="26" t="s">
        <v>57</v>
      </c>
      <c r="R6" s="44" t="s">
        <v>770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771</v>
      </c>
      <c r="C7" s="25" t="s">
        <v>772</v>
      </c>
      <c r="D7" s="23" t="s">
        <v>766</v>
      </c>
      <c r="E7" s="43">
        <v>46126</v>
      </c>
      <c r="F7" s="26" t="s">
        <v>55</v>
      </c>
      <c r="G7" s="26" t="s">
        <v>57</v>
      </c>
      <c r="H7" s="26" t="s">
        <v>57</v>
      </c>
      <c r="I7" s="26" t="s">
        <v>153</v>
      </c>
      <c r="J7" s="26" t="s">
        <v>57</v>
      </c>
      <c r="K7" s="27"/>
      <c r="L7" s="28" t="s">
        <v>56</v>
      </c>
      <c r="M7" s="29" t="str">
        <f t="shared" si="0"/>
        <v>⚠ Missing</v>
      </c>
      <c r="N7" s="43">
        <v>46193</v>
      </c>
      <c r="O7" s="26" t="s">
        <v>55</v>
      </c>
      <c r="P7" s="26" t="s">
        <v>57</v>
      </c>
      <c r="Q7" s="26" t="s">
        <v>57</v>
      </c>
      <c r="R7" s="26" t="s">
        <v>153</v>
      </c>
      <c r="S7" s="26" t="s">
        <v>57</v>
      </c>
      <c r="T7" s="27"/>
      <c r="U7" s="28" t="s">
        <v>56</v>
      </c>
      <c r="V7" s="29" t="str">
        <f t="shared" si="1"/>
        <v>⚠ Missing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773</v>
      </c>
      <c r="C8" s="41" t="s">
        <v>774</v>
      </c>
      <c r="D8" s="39" t="s">
        <v>766</v>
      </c>
      <c r="E8" s="43">
        <v>46126</v>
      </c>
      <c r="F8" s="26" t="s">
        <v>55</v>
      </c>
      <c r="G8" s="26" t="s">
        <v>57</v>
      </c>
      <c r="H8" s="26" t="s">
        <v>57</v>
      </c>
      <c r="I8" s="26" t="s">
        <v>153</v>
      </c>
      <c r="J8" s="26" t="s">
        <v>57</v>
      </c>
      <c r="K8" s="27"/>
      <c r="L8" s="28" t="s">
        <v>56</v>
      </c>
      <c r="M8" s="29" t="str">
        <f t="shared" si="0"/>
        <v>⚠ Missing</v>
      </c>
      <c r="N8" s="43">
        <v>46193</v>
      </c>
      <c r="O8" s="26" t="s">
        <v>55</v>
      </c>
      <c r="P8" s="26" t="s">
        <v>57</v>
      </c>
      <c r="Q8" s="26" t="s">
        <v>57</v>
      </c>
      <c r="R8" s="26" t="s">
        <v>153</v>
      </c>
      <c r="S8" s="26" t="s">
        <v>57</v>
      </c>
      <c r="T8" s="27"/>
      <c r="U8" s="28" t="s">
        <v>56</v>
      </c>
      <c r="V8" s="29" t="str">
        <f t="shared" si="1"/>
        <v>⚠ Missing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775</v>
      </c>
      <c r="C9" s="25" t="s">
        <v>776</v>
      </c>
      <c r="D9" s="23" t="s">
        <v>766</v>
      </c>
      <c r="E9" s="43">
        <v>46126</v>
      </c>
      <c r="F9" s="26" t="s">
        <v>55</v>
      </c>
      <c r="G9" s="44" t="s">
        <v>770</v>
      </c>
      <c r="H9" s="26" t="s">
        <v>57</v>
      </c>
      <c r="I9" s="44" t="s">
        <v>770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46193</v>
      </c>
      <c r="O9" s="26" t="s">
        <v>55</v>
      </c>
      <c r="P9" s="44" t="s">
        <v>770</v>
      </c>
      <c r="Q9" s="26" t="s">
        <v>57</v>
      </c>
      <c r="R9" s="44" t="s">
        <v>770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777</v>
      </c>
      <c r="C10" s="41" t="s">
        <v>778</v>
      </c>
      <c r="D10" s="39" t="s">
        <v>766</v>
      </c>
      <c r="E10" s="43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 t="s">
        <v>779</v>
      </c>
      <c r="L10" s="28" t="s">
        <v>57</v>
      </c>
      <c r="M10" s="29" t="str">
        <f t="shared" si="0"/>
        <v>✓ OK</v>
      </c>
      <c r="N10" s="43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 t="s">
        <v>779</v>
      </c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780</v>
      </c>
      <c r="C11" s="25" t="s">
        <v>781</v>
      </c>
      <c r="D11" s="23" t="s">
        <v>766</v>
      </c>
      <c r="E11" s="43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782</v>
      </c>
      <c r="L11" s="28" t="s">
        <v>57</v>
      </c>
      <c r="M11" s="29" t="str">
        <f t="shared" si="0"/>
        <v>✓ OK</v>
      </c>
      <c r="N11" s="43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782</v>
      </c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783</v>
      </c>
      <c r="C12" s="41" t="s">
        <v>784</v>
      </c>
      <c r="D12" s="39" t="s">
        <v>766</v>
      </c>
      <c r="E12" s="43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782</v>
      </c>
      <c r="L12" s="28" t="s">
        <v>57</v>
      </c>
      <c r="M12" s="29" t="str">
        <f t="shared" si="0"/>
        <v>✓ OK</v>
      </c>
      <c r="N12" s="43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782</v>
      </c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785</v>
      </c>
      <c r="C13" s="25" t="s">
        <v>786</v>
      </c>
      <c r="D13" s="23" t="s">
        <v>766</v>
      </c>
      <c r="E13" s="43">
        <v>46126</v>
      </c>
      <c r="F13" s="26" t="s">
        <v>55</v>
      </c>
      <c r="G13" s="44" t="s">
        <v>770</v>
      </c>
      <c r="H13" s="26" t="s">
        <v>57</v>
      </c>
      <c r="I13" s="44" t="s">
        <v>770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46193</v>
      </c>
      <c r="O13" s="26" t="s">
        <v>55</v>
      </c>
      <c r="P13" s="44" t="s">
        <v>770</v>
      </c>
      <c r="Q13" s="26" t="s">
        <v>57</v>
      </c>
      <c r="R13" s="44" t="s">
        <v>770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787</v>
      </c>
      <c r="C14" s="41" t="s">
        <v>788</v>
      </c>
      <c r="D14" s="39" t="s">
        <v>766</v>
      </c>
      <c r="E14" s="43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789</v>
      </c>
      <c r="L14" s="28" t="s">
        <v>57</v>
      </c>
      <c r="M14" s="29" t="str">
        <f t="shared" si="0"/>
        <v>✓ OK</v>
      </c>
      <c r="N14" s="43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789</v>
      </c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790</v>
      </c>
      <c r="C15" s="25" t="s">
        <v>791</v>
      </c>
      <c r="D15" s="23" t="s">
        <v>766</v>
      </c>
      <c r="E15" s="43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 t="s">
        <v>782</v>
      </c>
      <c r="L15" s="28" t="s">
        <v>57</v>
      </c>
      <c r="M15" s="29" t="str">
        <f t="shared" si="0"/>
        <v>✓ OK</v>
      </c>
      <c r="N15" s="43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 t="s">
        <v>782</v>
      </c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792</v>
      </c>
      <c r="C16" s="41" t="s">
        <v>793</v>
      </c>
      <c r="D16" s="39" t="s">
        <v>766</v>
      </c>
      <c r="E16" s="43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794</v>
      </c>
      <c r="L16" s="28" t="s">
        <v>57</v>
      </c>
      <c r="M16" s="29" t="str">
        <f t="shared" si="0"/>
        <v>✓ OK</v>
      </c>
      <c r="N16" s="43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794</v>
      </c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795</v>
      </c>
      <c r="C17" s="25" t="s">
        <v>796</v>
      </c>
      <c r="D17" s="23" t="s">
        <v>766</v>
      </c>
      <c r="E17" s="43">
        <v>46126</v>
      </c>
      <c r="F17" s="26" t="s">
        <v>55</v>
      </c>
      <c r="G17" s="44" t="s">
        <v>770</v>
      </c>
      <c r="H17" s="26" t="s">
        <v>57</v>
      </c>
      <c r="I17" s="44" t="s">
        <v>770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46193</v>
      </c>
      <c r="O17" s="26" t="s">
        <v>55</v>
      </c>
      <c r="P17" s="44" t="s">
        <v>770</v>
      </c>
      <c r="Q17" s="26" t="s">
        <v>57</v>
      </c>
      <c r="R17" s="44" t="s">
        <v>770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797</v>
      </c>
      <c r="C18" s="41" t="s">
        <v>798</v>
      </c>
      <c r="D18" s="39" t="s">
        <v>766</v>
      </c>
      <c r="E18" s="43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 t="s">
        <v>782</v>
      </c>
      <c r="L18" s="28" t="s">
        <v>57</v>
      </c>
      <c r="M18" s="29" t="str">
        <f t="shared" si="0"/>
        <v>✓ OK</v>
      </c>
      <c r="N18" s="43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 t="s">
        <v>782</v>
      </c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799</v>
      </c>
      <c r="C19" s="25" t="s">
        <v>800</v>
      </c>
      <c r="D19" s="23" t="s">
        <v>766</v>
      </c>
      <c r="E19" s="43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789</v>
      </c>
      <c r="L19" s="28" t="s">
        <v>57</v>
      </c>
      <c r="M19" s="29" t="str">
        <f t="shared" si="0"/>
        <v>✓ OK</v>
      </c>
      <c r="N19" s="43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789</v>
      </c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801</v>
      </c>
      <c r="C20" s="41" t="s">
        <v>802</v>
      </c>
      <c r="D20" s="39" t="s">
        <v>766</v>
      </c>
      <c r="E20" s="43">
        <v>46126</v>
      </c>
      <c r="F20" s="26" t="s">
        <v>55</v>
      </c>
      <c r="G20" s="44" t="s">
        <v>770</v>
      </c>
      <c r="H20" s="26" t="s">
        <v>57</v>
      </c>
      <c r="I20" s="44" t="s">
        <v>770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46193</v>
      </c>
      <c r="O20" s="26" t="s">
        <v>55</v>
      </c>
      <c r="P20" s="44" t="s">
        <v>770</v>
      </c>
      <c r="Q20" s="26" t="s">
        <v>57</v>
      </c>
      <c r="R20" s="44" t="s">
        <v>770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803</v>
      </c>
      <c r="C21" s="25" t="s">
        <v>804</v>
      </c>
      <c r="D21" s="23" t="s">
        <v>766</v>
      </c>
      <c r="E21" s="43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 t="s">
        <v>805</v>
      </c>
      <c r="L21" s="28" t="s">
        <v>57</v>
      </c>
      <c r="M21" s="29" t="str">
        <f t="shared" si="0"/>
        <v>✓ OK</v>
      </c>
      <c r="N21" s="43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 t="s">
        <v>805</v>
      </c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806</v>
      </c>
      <c r="C22" s="41" t="s">
        <v>807</v>
      </c>
      <c r="D22" s="39" t="s">
        <v>766</v>
      </c>
      <c r="E22" s="43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 t="s">
        <v>782</v>
      </c>
      <c r="L22" s="28" t="s">
        <v>57</v>
      </c>
      <c r="M22" s="29" t="str">
        <f t="shared" si="0"/>
        <v>✓ OK</v>
      </c>
      <c r="N22" s="43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 t="s">
        <v>782</v>
      </c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808</v>
      </c>
      <c r="C23" s="25" t="s">
        <v>809</v>
      </c>
      <c r="D23" s="23" t="s">
        <v>766</v>
      </c>
      <c r="E23" s="43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767</v>
      </c>
      <c r="L23" s="28" t="s">
        <v>57</v>
      </c>
      <c r="M23" s="29" t="str">
        <f t="shared" si="0"/>
        <v>✓ OK</v>
      </c>
      <c r="N23" s="43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767</v>
      </c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810</v>
      </c>
      <c r="C24" s="41" t="s">
        <v>811</v>
      </c>
      <c r="D24" s="39" t="s">
        <v>766</v>
      </c>
      <c r="E24" s="43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 t="s">
        <v>812</v>
      </c>
      <c r="L24" s="28" t="s">
        <v>57</v>
      </c>
      <c r="M24" s="29" t="str">
        <f t="shared" si="0"/>
        <v>✓ OK</v>
      </c>
      <c r="N24" s="43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 t="s">
        <v>812</v>
      </c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813</v>
      </c>
      <c r="C25" s="25" t="s">
        <v>814</v>
      </c>
      <c r="D25" s="23" t="s">
        <v>766</v>
      </c>
      <c r="E25" s="43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 t="s">
        <v>782</v>
      </c>
      <c r="L25" s="28" t="s">
        <v>57</v>
      </c>
      <c r="M25" s="29" t="str">
        <f t="shared" si="0"/>
        <v>✓ OK</v>
      </c>
      <c r="N25" s="43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 t="s">
        <v>782</v>
      </c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815</v>
      </c>
      <c r="C26" s="41" t="s">
        <v>816</v>
      </c>
      <c r="D26" s="39" t="s">
        <v>766</v>
      </c>
      <c r="E26" s="43">
        <v>46126</v>
      </c>
      <c r="F26" s="26" t="s">
        <v>55</v>
      </c>
      <c r="G26" s="44" t="s">
        <v>770</v>
      </c>
      <c r="H26" s="26" t="s">
        <v>57</v>
      </c>
      <c r="I26" s="44" t="s">
        <v>770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46193</v>
      </c>
      <c r="O26" s="26" t="s">
        <v>55</v>
      </c>
      <c r="P26" s="44" t="s">
        <v>770</v>
      </c>
      <c r="Q26" s="26" t="s">
        <v>57</v>
      </c>
      <c r="R26" s="44" t="s">
        <v>770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817</v>
      </c>
      <c r="C27" s="25" t="s">
        <v>818</v>
      </c>
      <c r="D27" s="23" t="s">
        <v>766</v>
      </c>
      <c r="E27" s="43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 t="s">
        <v>819</v>
      </c>
      <c r="L27" s="28" t="s">
        <v>57</v>
      </c>
      <c r="M27" s="29" t="str">
        <f t="shared" si="0"/>
        <v>✓ OK</v>
      </c>
      <c r="N27" s="43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 t="s">
        <v>819</v>
      </c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820</v>
      </c>
      <c r="C28" s="41" t="s">
        <v>821</v>
      </c>
      <c r="D28" s="39" t="s">
        <v>766</v>
      </c>
      <c r="E28" s="43">
        <v>46126</v>
      </c>
      <c r="F28" s="26" t="s">
        <v>55</v>
      </c>
      <c r="G28" s="44" t="s">
        <v>770</v>
      </c>
      <c r="H28" s="26" t="s">
        <v>57</v>
      </c>
      <c r="I28" s="44" t="s">
        <v>770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46193</v>
      </c>
      <c r="O28" s="26" t="s">
        <v>55</v>
      </c>
      <c r="P28" s="44" t="s">
        <v>770</v>
      </c>
      <c r="Q28" s="26" t="s">
        <v>57</v>
      </c>
      <c r="R28" s="44" t="s">
        <v>770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822</v>
      </c>
      <c r="C29" s="25" t="s">
        <v>823</v>
      </c>
      <c r="D29" s="23" t="s">
        <v>766</v>
      </c>
      <c r="E29" s="43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805</v>
      </c>
      <c r="L29" s="28" t="s">
        <v>57</v>
      </c>
      <c r="M29" s="29" t="str">
        <f t="shared" si="0"/>
        <v>✓ OK</v>
      </c>
      <c r="N29" s="43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805</v>
      </c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824</v>
      </c>
      <c r="C30" s="41" t="s">
        <v>825</v>
      </c>
      <c r="D30" s="39" t="s">
        <v>766</v>
      </c>
      <c r="E30" s="43">
        <v>46126</v>
      </c>
      <c r="F30" s="26" t="s">
        <v>55</v>
      </c>
      <c r="G30" s="44" t="s">
        <v>770</v>
      </c>
      <c r="H30" s="26" t="s">
        <v>57</v>
      </c>
      <c r="I30" s="44" t="s">
        <v>770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46193</v>
      </c>
      <c r="O30" s="26" t="s">
        <v>55</v>
      </c>
      <c r="P30" s="44" t="s">
        <v>770</v>
      </c>
      <c r="Q30" s="26" t="s">
        <v>57</v>
      </c>
      <c r="R30" s="44" t="s">
        <v>770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826</v>
      </c>
      <c r="C31" s="25" t="s">
        <v>827</v>
      </c>
      <c r="D31" s="23" t="s">
        <v>828</v>
      </c>
      <c r="E31" s="43">
        <v>46125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829</v>
      </c>
      <c r="C32" s="41" t="s">
        <v>830</v>
      </c>
      <c r="D32" s="39" t="s">
        <v>828</v>
      </c>
      <c r="E32" s="43">
        <v>46125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831</v>
      </c>
      <c r="C33" s="25" t="s">
        <v>832</v>
      </c>
      <c r="D33" s="23" t="s">
        <v>828</v>
      </c>
      <c r="E33" s="43">
        <v>46125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833</v>
      </c>
      <c r="C34" s="41" t="s">
        <v>834</v>
      </c>
      <c r="D34" s="39" t="s">
        <v>828</v>
      </c>
      <c r="E34" s="43">
        <v>46125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835</v>
      </c>
      <c r="C35" s="25" t="s">
        <v>836</v>
      </c>
      <c r="D35" s="23" t="s">
        <v>828</v>
      </c>
      <c r="E35" s="43">
        <v>46125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837</v>
      </c>
      <c r="C36" s="41" t="s">
        <v>838</v>
      </c>
      <c r="D36" s="39" t="s">
        <v>828</v>
      </c>
      <c r="E36" s="43">
        <v>46125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839</v>
      </c>
      <c r="C37" s="25" t="s">
        <v>840</v>
      </c>
      <c r="D37" s="23" t="s">
        <v>828</v>
      </c>
      <c r="E37" s="43">
        <v>46125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3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841</v>
      </c>
      <c r="C38" s="41" t="s">
        <v>842</v>
      </c>
      <c r="D38" s="39" t="s">
        <v>828</v>
      </c>
      <c r="E38" s="43">
        <v>46125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3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843</v>
      </c>
      <c r="C39" s="25" t="s">
        <v>844</v>
      </c>
      <c r="D39" s="23" t="s">
        <v>828</v>
      </c>
      <c r="E39" s="43">
        <v>46125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3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845</v>
      </c>
      <c r="C40" s="41" t="s">
        <v>846</v>
      </c>
      <c r="D40" s="39" t="s">
        <v>828</v>
      </c>
      <c r="E40" s="43">
        <v>46125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3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847</v>
      </c>
      <c r="C41" s="25" t="s">
        <v>848</v>
      </c>
      <c r="D41" s="23" t="s">
        <v>828</v>
      </c>
      <c r="E41" s="43">
        <v>46125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3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849</v>
      </c>
      <c r="C42" s="41" t="s">
        <v>850</v>
      </c>
      <c r="D42" s="39" t="s">
        <v>828</v>
      </c>
      <c r="E42" s="43">
        <v>46125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3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851</v>
      </c>
      <c r="C43" s="25" t="s">
        <v>852</v>
      </c>
      <c r="D43" s="23" t="s">
        <v>828</v>
      </c>
      <c r="E43" s="43">
        <v>46125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3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853</v>
      </c>
      <c r="C44" s="41" t="s">
        <v>854</v>
      </c>
      <c r="D44" s="39" t="s">
        <v>828</v>
      </c>
      <c r="E44" s="43">
        <v>46125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3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855</v>
      </c>
      <c r="C45" s="25" t="s">
        <v>856</v>
      </c>
      <c r="D45" s="23" t="s">
        <v>828</v>
      </c>
      <c r="E45" s="43">
        <v>46125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3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857</v>
      </c>
      <c r="C46" s="41" t="s">
        <v>858</v>
      </c>
      <c r="D46" s="39" t="s">
        <v>828</v>
      </c>
      <c r="E46" s="43">
        <v>46125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3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859</v>
      </c>
      <c r="C47" s="25" t="s">
        <v>860</v>
      </c>
      <c r="D47" s="23" t="s">
        <v>828</v>
      </c>
      <c r="E47" s="43">
        <v>46125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3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861</v>
      </c>
      <c r="C48" s="41" t="s">
        <v>862</v>
      </c>
      <c r="D48" s="39" t="s">
        <v>828</v>
      </c>
      <c r="E48" s="43">
        <v>46125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3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863</v>
      </c>
      <c r="C49" s="25" t="s">
        <v>864</v>
      </c>
      <c r="D49" s="23" t="s">
        <v>828</v>
      </c>
      <c r="E49" s="43">
        <v>46125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3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865</v>
      </c>
      <c r="C50" s="41" t="s">
        <v>866</v>
      </c>
      <c r="D50" s="39" t="s">
        <v>828</v>
      </c>
      <c r="E50" s="43">
        <v>46125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3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867</v>
      </c>
      <c r="C51" s="25" t="s">
        <v>868</v>
      </c>
      <c r="D51" s="23" t="s">
        <v>828</v>
      </c>
      <c r="E51" s="43">
        <v>46125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3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869</v>
      </c>
      <c r="C52" s="41" t="s">
        <v>870</v>
      </c>
      <c r="D52" s="39" t="s">
        <v>828</v>
      </c>
      <c r="E52" s="43">
        <v>46125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3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871</v>
      </c>
      <c r="C53" s="25" t="s">
        <v>872</v>
      </c>
      <c r="D53" s="23" t="s">
        <v>828</v>
      </c>
      <c r="E53" s="43">
        <v>46125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3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873</v>
      </c>
      <c r="C54" s="41" t="s">
        <v>874</v>
      </c>
      <c r="D54" s="39" t="s">
        <v>828</v>
      </c>
      <c r="E54" s="43">
        <v>46125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3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875</v>
      </c>
      <c r="C55" s="25" t="s">
        <v>875</v>
      </c>
      <c r="D55" s="23" t="s">
        <v>828</v>
      </c>
      <c r="E55" s="43">
        <v>46125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3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876</v>
      </c>
      <c r="C56" s="41" t="s">
        <v>877</v>
      </c>
      <c r="D56" s="39" t="s">
        <v>828</v>
      </c>
      <c r="E56" s="43">
        <v>46125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3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878</v>
      </c>
      <c r="C57" s="25" t="s">
        <v>879</v>
      </c>
      <c r="D57" s="23" t="s">
        <v>828</v>
      </c>
      <c r="E57" s="43">
        <v>46125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3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880</v>
      </c>
      <c r="C58" s="41" t="s">
        <v>881</v>
      </c>
      <c r="D58" s="39" t="s">
        <v>828</v>
      </c>
      <c r="E58" s="43">
        <v>46125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3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882</v>
      </c>
      <c r="C59" s="25" t="s">
        <v>883</v>
      </c>
      <c r="D59" s="23" t="s">
        <v>828</v>
      </c>
      <c r="E59" s="43">
        <v>46125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3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884</v>
      </c>
      <c r="C60" s="41" t="s">
        <v>885</v>
      </c>
      <c r="D60" s="39" t="s">
        <v>828</v>
      </c>
      <c r="E60" s="43">
        <v>46125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3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886</v>
      </c>
      <c r="C61" s="25" t="s">
        <v>887</v>
      </c>
      <c r="D61" s="23" t="s">
        <v>828</v>
      </c>
      <c r="E61" s="43">
        <v>46125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3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888</v>
      </c>
      <c r="C62" s="41" t="s">
        <v>889</v>
      </c>
      <c r="D62" s="39" t="s">
        <v>828</v>
      </c>
      <c r="E62" s="43">
        <v>46125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3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890</v>
      </c>
      <c r="C63" s="25" t="s">
        <v>891</v>
      </c>
      <c r="D63" s="23" t="s">
        <v>828</v>
      </c>
      <c r="E63" s="43">
        <v>46125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3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892</v>
      </c>
      <c r="C64" s="41" t="s">
        <v>893</v>
      </c>
      <c r="D64" s="39" t="s">
        <v>828</v>
      </c>
      <c r="E64" s="43">
        <v>46125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3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894</v>
      </c>
      <c r="C65" s="25" t="s">
        <v>894</v>
      </c>
      <c r="D65" s="23" t="s">
        <v>828</v>
      </c>
      <c r="E65" s="43">
        <v>46125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3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895</v>
      </c>
      <c r="C66" s="41" t="s">
        <v>896</v>
      </c>
      <c r="D66" s="39" t="s">
        <v>828</v>
      </c>
      <c r="E66" s="43">
        <v>46125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3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897</v>
      </c>
      <c r="C67" s="25" t="s">
        <v>898</v>
      </c>
      <c r="D67" s="23" t="s">
        <v>828</v>
      </c>
      <c r="E67" s="43">
        <v>46125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3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899</v>
      </c>
      <c r="C68" s="41" t="s">
        <v>900</v>
      </c>
      <c r="D68" s="39" t="s">
        <v>828</v>
      </c>
      <c r="E68" s="43">
        <v>46125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3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901</v>
      </c>
      <c r="C69" s="25" t="s">
        <v>902</v>
      </c>
      <c r="D69" s="23" t="s">
        <v>828</v>
      </c>
      <c r="E69" s="43">
        <v>46125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9">IF(E69="","",IF(H69="Yes","❌ Disc",IF(G69="No","⚠ Missing",IF(J69="Yes","✓ OK","⚠ Check"))))</f>
        <v>✓ OK</v>
      </c>
      <c r="N69" s="43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5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903</v>
      </c>
      <c r="C70" s="41" t="s">
        <v>904</v>
      </c>
      <c r="D70" s="39" t="s">
        <v>828</v>
      </c>
      <c r="E70" s="43">
        <v>46125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9"/>
        <v>✓ OK</v>
      </c>
      <c r="N70" s="43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905</v>
      </c>
      <c r="C71" s="25" t="s">
        <v>906</v>
      </c>
      <c r="D71" s="23" t="s">
        <v>828</v>
      </c>
      <c r="E71" s="43">
        <v>46125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3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907</v>
      </c>
      <c r="C72" s="41" t="s">
        <v>908</v>
      </c>
      <c r="D72" s="39" t="s">
        <v>828</v>
      </c>
      <c r="E72" s="43">
        <v>46125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43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909</v>
      </c>
      <c r="C73" s="25" t="s">
        <v>910</v>
      </c>
      <c r="D73" s="23" t="s">
        <v>828</v>
      </c>
      <c r="E73" s="43">
        <v>46125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9"/>
        <v>✓ OK</v>
      </c>
      <c r="N73" s="43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911</v>
      </c>
      <c r="C74" s="41" t="s">
        <v>912</v>
      </c>
      <c r="D74" s="39" t="s">
        <v>828</v>
      </c>
      <c r="E74" s="43">
        <v>46125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9"/>
        <v>✓ OK</v>
      </c>
      <c r="N74" s="43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913</v>
      </c>
      <c r="C75" s="25" t="s">
        <v>913</v>
      </c>
      <c r="D75" s="23" t="s">
        <v>828</v>
      </c>
      <c r="E75" s="43">
        <v>46125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3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914</v>
      </c>
      <c r="C76" s="41" t="s">
        <v>915</v>
      </c>
      <c r="D76" s="39" t="s">
        <v>828</v>
      </c>
      <c r="E76" s="43">
        <v>46125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3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916</v>
      </c>
      <c r="C77" s="25" t="s">
        <v>917</v>
      </c>
      <c r="D77" s="23" t="s">
        <v>828</v>
      </c>
      <c r="E77" s="43">
        <v>46125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3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918</v>
      </c>
      <c r="C78" s="41" t="s">
        <v>919</v>
      </c>
      <c r="D78" s="39" t="s">
        <v>828</v>
      </c>
      <c r="E78" s="43">
        <v>46125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43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920</v>
      </c>
      <c r="C79" s="25" t="s">
        <v>921</v>
      </c>
      <c r="D79" s="23" t="s">
        <v>828</v>
      </c>
      <c r="E79" s="43">
        <v>46125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9"/>
        <v>✓ OK</v>
      </c>
      <c r="N79" s="43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922</v>
      </c>
      <c r="C80" s="41" t="s">
        <v>923</v>
      </c>
      <c r="D80" s="39" t="s">
        <v>828</v>
      </c>
      <c r="E80" s="43">
        <v>46125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9"/>
        <v>✓ OK</v>
      </c>
      <c r="N80" s="43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8" customHeight="1" x14ac:dyDescent="0.3">
      <c r="A81" s="23">
        <v>77</v>
      </c>
      <c r="B81" s="24" t="s">
        <v>924</v>
      </c>
      <c r="C81" s="25" t="s">
        <v>925</v>
      </c>
      <c r="D81" s="23" t="s">
        <v>828</v>
      </c>
      <c r="E81" s="43">
        <v>46125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9"/>
        <v>✓ OK</v>
      </c>
      <c r="N81" s="43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8" customHeight="1" x14ac:dyDescent="0.3">
      <c r="A82" s="39">
        <v>78</v>
      </c>
      <c r="B82" s="40" t="s">
        <v>926</v>
      </c>
      <c r="C82" s="41" t="s">
        <v>927</v>
      </c>
      <c r="D82" s="39" t="s">
        <v>828</v>
      </c>
      <c r="E82" s="43">
        <v>46125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9"/>
        <v>✓ OK</v>
      </c>
      <c r="N82" s="43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8" customHeight="1" x14ac:dyDescent="0.3">
      <c r="A83" s="23">
        <v>79</v>
      </c>
      <c r="B83" s="24" t="s">
        <v>928</v>
      </c>
      <c r="C83" s="25" t="s">
        <v>929</v>
      </c>
      <c r="D83" s="23" t="s">
        <v>828</v>
      </c>
      <c r="E83" s="43">
        <v>46125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9"/>
        <v>✓ OK</v>
      </c>
      <c r="N83" s="43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8" customHeight="1" x14ac:dyDescent="0.3">
      <c r="A84" s="39">
        <v>80</v>
      </c>
      <c r="B84" s="40" t="s">
        <v>930</v>
      </c>
      <c r="C84" s="41" t="s">
        <v>931</v>
      </c>
      <c r="D84" s="39" t="s">
        <v>828</v>
      </c>
      <c r="E84" s="43">
        <v>46125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9"/>
        <v>✓ OK</v>
      </c>
      <c r="N84" s="43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8" customHeight="1" x14ac:dyDescent="0.3">
      <c r="A85" s="23">
        <v>81</v>
      </c>
      <c r="B85" s="24" t="s">
        <v>932</v>
      </c>
      <c r="C85" s="25" t="s">
        <v>933</v>
      </c>
      <c r="D85" s="23" t="s">
        <v>828</v>
      </c>
      <c r="E85" s="43">
        <v>46125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9"/>
        <v>✓ OK</v>
      </c>
      <c r="N85" s="43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6:F6 A9:F9 A13:F13 A17:F17 A20:F20 A26:F26 A28:F28 A30:F30 W5:AW85 A5:M5 S6:V6 A7:M8 S9:V9 A10:M12 S13:V13 A14:M16 S17:V17 A18:M19 S20:V20 A21:M25 S26:V26 A27:M27 S28:V28 A29:M29 S30:V30 A31:M85 J6:M6 J9:M9 J13:M13 J17:M17 J20:M20 J26:M26 J28:M28 J30:M30 O5:V5 O30 O28 O26 O20 O17 O13 O9 O6 O31:V85 O29:V29 O27:V27 O21:V25 O18:V19 O14:V16 O10:V12 O7:V8">
    <cfRule type="expression" dxfId="659" priority="144">
      <formula>MOD(ROW(),2)=0</formula>
    </cfRule>
  </conditionalFormatting>
  <conditionalFormatting sqref="G5 G7:G8 G10:G12 G14:G16 G18:G19 G21:G25 G27 G29 G31:G85">
    <cfRule type="expression" dxfId="658" priority="103">
      <formula>G5="Yes"</formula>
    </cfRule>
    <cfRule type="expression" dxfId="657" priority="104">
      <formula>G5="No"</formula>
    </cfRule>
  </conditionalFormatting>
  <conditionalFormatting sqref="G6">
    <cfRule type="expression" dxfId="656" priority="94">
      <formula>G6="Yes"</formula>
    </cfRule>
    <cfRule type="expression" dxfId="655" priority="95">
      <formula>G6="No"</formula>
    </cfRule>
    <cfRule type="expression" dxfId="654" priority="96">
      <formula>MOD(ROW(),2)=0</formula>
    </cfRule>
  </conditionalFormatting>
  <conditionalFormatting sqref="G9">
    <cfRule type="expression" dxfId="653" priority="52">
      <formula>G9="Yes"</formula>
    </cfRule>
    <cfRule type="expression" dxfId="652" priority="53">
      <formula>G9="No"</formula>
    </cfRule>
    <cfRule type="expression" dxfId="651" priority="54">
      <formula>MOD(ROW(),2)=0</formula>
    </cfRule>
  </conditionalFormatting>
  <conditionalFormatting sqref="G13">
    <cfRule type="expression" dxfId="650" priority="90">
      <formula>MOD(ROW(),2)=0</formula>
    </cfRule>
    <cfRule type="expression" dxfId="649" priority="89">
      <formula>G13="No"</formula>
    </cfRule>
    <cfRule type="expression" dxfId="648" priority="88">
      <formula>G13="Yes"</formula>
    </cfRule>
  </conditionalFormatting>
  <conditionalFormatting sqref="G17">
    <cfRule type="expression" dxfId="647" priority="84">
      <formula>MOD(ROW(),2)=0</formula>
    </cfRule>
    <cfRule type="expression" dxfId="646" priority="83">
      <formula>G17="No"</formula>
    </cfRule>
    <cfRule type="expression" dxfId="645" priority="82">
      <formula>G17="Yes"</formula>
    </cfRule>
  </conditionalFormatting>
  <conditionalFormatting sqref="G20">
    <cfRule type="expression" dxfId="644" priority="77">
      <formula>G20="No"</formula>
    </cfRule>
    <cfRule type="expression" dxfId="643" priority="78">
      <formula>MOD(ROW(),2)=0</formula>
    </cfRule>
    <cfRule type="expression" dxfId="642" priority="76">
      <formula>G20="Yes"</formula>
    </cfRule>
  </conditionalFormatting>
  <conditionalFormatting sqref="G26">
    <cfRule type="expression" dxfId="641" priority="71">
      <formula>G26="No"</formula>
    </cfRule>
    <cfRule type="expression" dxfId="640" priority="70">
      <formula>G26="Yes"</formula>
    </cfRule>
    <cfRule type="expression" dxfId="639" priority="72">
      <formula>MOD(ROW(),2)=0</formula>
    </cfRule>
  </conditionalFormatting>
  <conditionalFormatting sqref="G28">
    <cfRule type="expression" dxfId="638" priority="64">
      <formula>G28="Yes"</formula>
    </cfRule>
    <cfRule type="expression" dxfId="637" priority="65">
      <formula>G28="No"</formula>
    </cfRule>
    <cfRule type="expression" dxfId="636" priority="66">
      <formula>MOD(ROW(),2)=0</formula>
    </cfRule>
  </conditionalFormatting>
  <conditionalFormatting sqref="G30">
    <cfRule type="expression" dxfId="635" priority="58">
      <formula>G30="Yes"</formula>
    </cfRule>
    <cfRule type="expression" dxfId="634" priority="59">
      <formula>G30="No"</formula>
    </cfRule>
    <cfRule type="expression" dxfId="633" priority="60">
      <formula>MOD(ROW(),2)=0</formula>
    </cfRule>
  </conditionalFormatting>
  <conditionalFormatting sqref="H5:H85">
    <cfRule type="expression" dxfId="632" priority="55">
      <formula>H5="Yes"</formula>
    </cfRule>
  </conditionalFormatting>
  <conditionalFormatting sqref="H6">
    <cfRule type="expression" dxfId="631" priority="98">
      <formula>MOD(ROW(),2)=0</formula>
    </cfRule>
  </conditionalFormatting>
  <conditionalFormatting sqref="H9">
    <cfRule type="expression" dxfId="630" priority="56">
      <formula>MOD(ROW(),2)=0</formula>
    </cfRule>
  </conditionalFormatting>
  <conditionalFormatting sqref="H13">
    <cfRule type="expression" dxfId="629" priority="92">
      <formula>MOD(ROW(),2)=0</formula>
    </cfRule>
  </conditionalFormatting>
  <conditionalFormatting sqref="H17">
    <cfRule type="expression" dxfId="628" priority="86">
      <formula>MOD(ROW(),2)=0</formula>
    </cfRule>
  </conditionalFormatting>
  <conditionalFormatting sqref="H20">
    <cfRule type="expression" dxfId="627" priority="80">
      <formula>MOD(ROW(),2)=0</formula>
    </cfRule>
  </conditionalFormatting>
  <conditionalFormatting sqref="H26">
    <cfRule type="expression" dxfId="626" priority="74">
      <formula>MOD(ROW(),2)=0</formula>
    </cfRule>
  </conditionalFormatting>
  <conditionalFormatting sqref="H28">
    <cfRule type="expression" dxfId="625" priority="68">
      <formula>MOD(ROW(),2)=0</formula>
    </cfRule>
  </conditionalFormatting>
  <conditionalFormatting sqref="H30">
    <cfRule type="expression" dxfId="624" priority="62">
      <formula>MOD(ROW(),2)=0</formula>
    </cfRule>
  </conditionalFormatting>
  <conditionalFormatting sqref="I6">
    <cfRule type="expression" dxfId="623" priority="93">
      <formula>MOD(ROW(),2)=0</formula>
    </cfRule>
  </conditionalFormatting>
  <conditionalFormatting sqref="I9">
    <cfRule type="expression" dxfId="622" priority="51">
      <formula>MOD(ROW(),2)=0</formula>
    </cfRule>
  </conditionalFormatting>
  <conditionalFormatting sqref="I13">
    <cfRule type="expression" dxfId="621" priority="87">
      <formula>MOD(ROW(),2)=0</formula>
    </cfRule>
  </conditionalFormatting>
  <conditionalFormatting sqref="I17">
    <cfRule type="expression" dxfId="620" priority="81">
      <formula>MOD(ROW(),2)=0</formula>
    </cfRule>
  </conditionalFormatting>
  <conditionalFormatting sqref="I20">
    <cfRule type="expression" dxfId="619" priority="75">
      <formula>MOD(ROW(),2)=0</formula>
    </cfRule>
  </conditionalFormatting>
  <conditionalFormatting sqref="I26">
    <cfRule type="expression" dxfId="618" priority="69">
      <formula>MOD(ROW(),2)=0</formula>
    </cfRule>
  </conditionalFormatting>
  <conditionalFormatting sqref="I28">
    <cfRule type="expression" dxfId="617" priority="63">
      <formula>MOD(ROW(),2)=0</formula>
    </cfRule>
  </conditionalFormatting>
  <conditionalFormatting sqref="I30">
    <cfRule type="expression" dxfId="616" priority="57">
      <formula>MOD(ROW(),2)=0</formula>
    </cfRule>
  </conditionalFormatting>
  <conditionalFormatting sqref="J5:J85">
    <cfRule type="expression" dxfId="615" priority="106">
      <formula>J5="Yes"</formula>
    </cfRule>
    <cfRule type="expression" dxfId="614" priority="107">
      <formula>J5="No"</formula>
    </cfRule>
  </conditionalFormatting>
  <conditionalFormatting sqref="M5:M85">
    <cfRule type="expression" dxfId="613" priority="100">
      <formula>M5="❌ Disc"</formula>
    </cfRule>
    <cfRule type="expression" dxfId="612" priority="101">
      <formula>M5="⚠ Missing"</formula>
    </cfRule>
    <cfRule type="expression" dxfId="611" priority="102">
      <formula>M5="⚠ Check"</formula>
    </cfRule>
    <cfRule type="expression" dxfId="610" priority="99">
      <formula>M5="✓ OK"</formula>
    </cfRule>
  </conditionalFormatting>
  <conditionalFormatting sqref="Y5:Y85">
    <cfRule type="expression" dxfId="600" priority="121">
      <formula>Y5="Yes"</formula>
    </cfRule>
    <cfRule type="expression" dxfId="599" priority="122">
      <formula>Y5="No"</formula>
    </cfRule>
  </conditionalFormatting>
  <conditionalFormatting sqref="Z5:Z85">
    <cfRule type="expression" dxfId="598" priority="123">
      <formula>Z5="Yes"</formula>
    </cfRule>
  </conditionalFormatting>
  <conditionalFormatting sqref="AB5:AB85">
    <cfRule type="expression" dxfId="597" priority="125">
      <formula>AB5="No"</formula>
    </cfRule>
    <cfRule type="expression" dxfId="596" priority="124">
      <formula>AB5="Yes"</formula>
    </cfRule>
  </conditionalFormatting>
  <conditionalFormatting sqref="AE5:AE85">
    <cfRule type="expression" dxfId="595" priority="117">
      <formula>AE5="✓ OK"</formula>
    </cfRule>
    <cfRule type="expression" dxfId="594" priority="118">
      <formula>AE5="❌ Disc"</formula>
    </cfRule>
    <cfRule type="expression" dxfId="593" priority="119">
      <formula>AE5="⚠ Missing"</formula>
    </cfRule>
    <cfRule type="expression" dxfId="592" priority="120">
      <formula>AE5="⚠ Check"</formula>
    </cfRule>
  </conditionalFormatting>
  <conditionalFormatting sqref="AH5:AH85">
    <cfRule type="expression" dxfId="591" priority="130">
      <formula>AH5="Yes"</formula>
    </cfRule>
    <cfRule type="expression" dxfId="590" priority="131">
      <formula>AH5="No"</formula>
    </cfRule>
  </conditionalFormatting>
  <conditionalFormatting sqref="AI5:AI85">
    <cfRule type="expression" dxfId="589" priority="132">
      <formula>AI5="Yes"</formula>
    </cfRule>
  </conditionalFormatting>
  <conditionalFormatting sqref="AK5:AK85">
    <cfRule type="expression" dxfId="588" priority="133">
      <formula>AK5="Yes"</formula>
    </cfRule>
    <cfRule type="expression" dxfId="587" priority="134">
      <formula>AK5="No"</formula>
    </cfRule>
  </conditionalFormatting>
  <conditionalFormatting sqref="AN5:AN85">
    <cfRule type="expression" dxfId="586" priority="129">
      <formula>AN5="⚠ Check"</formula>
    </cfRule>
    <cfRule type="expression" dxfId="585" priority="126">
      <formula>AN5="✓ OK"</formula>
    </cfRule>
    <cfRule type="expression" dxfId="584" priority="128">
      <formula>AN5="⚠ Missing"</formula>
    </cfRule>
    <cfRule type="expression" dxfId="583" priority="127">
      <formula>AN5="❌ Disc"</formula>
    </cfRule>
  </conditionalFormatting>
  <conditionalFormatting sqref="AQ5:AQ85">
    <cfRule type="expression" dxfId="582" priority="139">
      <formula>AQ5="Yes"</formula>
    </cfRule>
    <cfRule type="expression" dxfId="581" priority="140">
      <formula>AQ5="No"</formula>
    </cfRule>
  </conditionalFormatting>
  <conditionalFormatting sqref="AR5:AR85">
    <cfRule type="expression" dxfId="580" priority="141">
      <formula>AR5="Yes"</formula>
    </cfRule>
  </conditionalFormatting>
  <conditionalFormatting sqref="AT5:AT85">
    <cfRule type="expression" dxfId="579" priority="142">
      <formula>AT5="Yes"</formula>
    </cfRule>
    <cfRule type="expression" dxfId="578" priority="143">
      <formula>AT5="No"</formula>
    </cfRule>
  </conditionalFormatting>
  <conditionalFormatting sqref="AW5:AW85">
    <cfRule type="expression" dxfId="577" priority="135">
      <formula>AW5="✓ OK"</formula>
    </cfRule>
    <cfRule type="expression" dxfId="576" priority="136">
      <formula>AW5="❌ Disc"</formula>
    </cfRule>
    <cfRule type="expression" dxfId="575" priority="137">
      <formula>AW5="⚠ Missing"</formula>
    </cfRule>
    <cfRule type="expression" dxfId="574" priority="138">
      <formula>AW5="⚠ Check"</formula>
    </cfRule>
  </conditionalFormatting>
  <conditionalFormatting sqref="P5 P7:P8 P10:P12 P14:P16 P18:P19 P21:P25 P27 P29 P31:P85">
    <cfRule type="expression" dxfId="143" priority="47">
      <formula>P5="Yes"</formula>
    </cfRule>
    <cfRule type="expression" dxfId="142" priority="48">
      <formula>P5="No"</formula>
    </cfRule>
  </conditionalFormatting>
  <conditionalFormatting sqref="P6">
    <cfRule type="expression" dxfId="141" priority="39">
      <formula>P6="Yes"</formula>
    </cfRule>
    <cfRule type="expression" dxfId="140" priority="40">
      <formula>P6="No"</formula>
    </cfRule>
    <cfRule type="expression" dxfId="139" priority="41">
      <formula>MOD(ROW(),2)=0</formula>
    </cfRule>
  </conditionalFormatting>
  <conditionalFormatting sqref="P9">
    <cfRule type="expression" dxfId="138" priority="3">
      <formula>P9="Yes"</formula>
    </cfRule>
    <cfRule type="expression" dxfId="137" priority="4">
      <formula>P9="No"</formula>
    </cfRule>
    <cfRule type="expression" dxfId="136" priority="5">
      <formula>MOD(ROW(),2)=0</formula>
    </cfRule>
  </conditionalFormatting>
  <conditionalFormatting sqref="P13">
    <cfRule type="expression" dxfId="133" priority="34">
      <formula>P13="Yes"</formula>
    </cfRule>
    <cfRule type="expression" dxfId="134" priority="35">
      <formula>P13="No"</formula>
    </cfRule>
    <cfRule type="expression" dxfId="135" priority="36">
      <formula>MOD(ROW(),2)=0</formula>
    </cfRule>
  </conditionalFormatting>
  <conditionalFormatting sqref="P17">
    <cfRule type="expression" dxfId="130" priority="29">
      <formula>P17="Yes"</formula>
    </cfRule>
    <cfRule type="expression" dxfId="131" priority="30">
      <formula>P17="No"</formula>
    </cfRule>
    <cfRule type="expression" dxfId="132" priority="31">
      <formula>MOD(ROW(),2)=0</formula>
    </cfRule>
  </conditionalFormatting>
  <conditionalFormatting sqref="P20">
    <cfRule type="expression" dxfId="127" priority="24">
      <formula>P20="Yes"</formula>
    </cfRule>
    <cfRule type="expression" dxfId="129" priority="25">
      <formula>P20="No"</formula>
    </cfRule>
    <cfRule type="expression" dxfId="128" priority="26">
      <formula>MOD(ROW(),2)=0</formula>
    </cfRule>
  </conditionalFormatting>
  <conditionalFormatting sqref="P26">
    <cfRule type="expression" dxfId="125" priority="19">
      <formula>P26="Yes"</formula>
    </cfRule>
    <cfRule type="expression" dxfId="126" priority="20">
      <formula>P26="No"</formula>
    </cfRule>
    <cfRule type="expression" dxfId="124" priority="21">
      <formula>MOD(ROW(),2)=0</formula>
    </cfRule>
  </conditionalFormatting>
  <conditionalFormatting sqref="P28">
    <cfRule type="expression" dxfId="123" priority="14">
      <formula>P28="Yes"</formula>
    </cfRule>
    <cfRule type="expression" dxfId="122" priority="15">
      <formula>P28="No"</formula>
    </cfRule>
    <cfRule type="expression" dxfId="121" priority="16">
      <formula>MOD(ROW(),2)=0</formula>
    </cfRule>
  </conditionalFormatting>
  <conditionalFormatting sqref="P30">
    <cfRule type="expression" dxfId="120" priority="9">
      <formula>P30="Yes"</formula>
    </cfRule>
    <cfRule type="expression" dxfId="119" priority="10">
      <formula>P30="No"</formula>
    </cfRule>
    <cfRule type="expression" dxfId="118" priority="11">
      <formula>MOD(ROW(),2)=0</formula>
    </cfRule>
  </conditionalFormatting>
  <conditionalFormatting sqref="Q5:Q85">
    <cfRule type="expression" dxfId="117" priority="6">
      <formula>Q5="Yes"</formula>
    </cfRule>
  </conditionalFormatting>
  <conditionalFormatting sqref="Q6">
    <cfRule type="expression" dxfId="116" priority="42">
      <formula>MOD(ROW(),2)=0</formula>
    </cfRule>
  </conditionalFormatting>
  <conditionalFormatting sqref="Q9">
    <cfRule type="expression" dxfId="115" priority="7">
      <formula>MOD(ROW(),2)=0</formula>
    </cfRule>
  </conditionalFormatting>
  <conditionalFormatting sqref="Q13">
    <cfRule type="expression" dxfId="114" priority="37">
      <formula>MOD(ROW(),2)=0</formula>
    </cfRule>
  </conditionalFormatting>
  <conditionalFormatting sqref="Q17">
    <cfRule type="expression" dxfId="113" priority="32">
      <formula>MOD(ROW(),2)=0</formula>
    </cfRule>
  </conditionalFormatting>
  <conditionalFormatting sqref="Q20">
    <cfRule type="expression" dxfId="112" priority="27">
      <formula>MOD(ROW(),2)=0</formula>
    </cfRule>
  </conditionalFormatting>
  <conditionalFormatting sqref="Q26">
    <cfRule type="expression" dxfId="111" priority="22">
      <formula>MOD(ROW(),2)=0</formula>
    </cfRule>
  </conditionalFormatting>
  <conditionalFormatting sqref="Q28">
    <cfRule type="expression" dxfId="110" priority="17">
      <formula>MOD(ROW(),2)=0</formula>
    </cfRule>
  </conditionalFormatting>
  <conditionalFormatting sqref="Q30">
    <cfRule type="expression" dxfId="109" priority="12">
      <formula>MOD(ROW(),2)=0</formula>
    </cfRule>
  </conditionalFormatting>
  <conditionalFormatting sqref="R6">
    <cfRule type="expression" dxfId="108" priority="38">
      <formula>MOD(ROW(),2)=0</formula>
    </cfRule>
  </conditionalFormatting>
  <conditionalFormatting sqref="R9">
    <cfRule type="expression" dxfId="107" priority="2">
      <formula>MOD(ROW(),2)=0</formula>
    </cfRule>
  </conditionalFormatting>
  <conditionalFormatting sqref="R13">
    <cfRule type="expression" dxfId="106" priority="33">
      <formula>MOD(ROW(),2)=0</formula>
    </cfRule>
  </conditionalFormatting>
  <conditionalFormatting sqref="R17">
    <cfRule type="expression" dxfId="105" priority="28">
      <formula>MOD(ROW(),2)=0</formula>
    </cfRule>
  </conditionalFormatting>
  <conditionalFormatting sqref="R20">
    <cfRule type="expression" dxfId="104" priority="23">
      <formula>MOD(ROW(),2)=0</formula>
    </cfRule>
  </conditionalFormatting>
  <conditionalFormatting sqref="R26">
    <cfRule type="expression" dxfId="103" priority="18">
      <formula>MOD(ROW(),2)=0</formula>
    </cfRule>
  </conditionalFormatting>
  <conditionalFormatting sqref="R28">
    <cfRule type="expression" dxfId="102" priority="13">
      <formula>MOD(ROW(),2)=0</formula>
    </cfRule>
  </conditionalFormatting>
  <conditionalFormatting sqref="R30">
    <cfRule type="expression" dxfId="101" priority="8">
      <formula>MOD(ROW(),2)=0</formula>
    </cfRule>
  </conditionalFormatting>
  <conditionalFormatting sqref="S5:S85">
    <cfRule type="expression" dxfId="100" priority="49">
      <formula>S5="Yes"</formula>
    </cfRule>
    <cfRule type="expression" dxfId="99" priority="50">
      <formula>S5="No"</formula>
    </cfRule>
  </conditionalFormatting>
  <conditionalFormatting sqref="V5:V85">
    <cfRule type="expression" dxfId="95" priority="43">
      <formula>V5="✓ OK"</formula>
    </cfRule>
    <cfRule type="expression" dxfId="98" priority="44">
      <formula>V5="❌ Disc"</formula>
    </cfRule>
    <cfRule type="expression" dxfId="97" priority="45">
      <formula>V5="⚠ Missing"</formula>
    </cfRule>
    <cfRule type="expression" dxfId="96" priority="46">
      <formula>V5="⚠ Check"</formula>
    </cfRule>
  </conditionalFormatting>
  <conditionalFormatting sqref="N5:N85">
    <cfRule type="expression" dxfId="94" priority="1">
      <formula>MOD(ROW(),2)=0</formula>
    </cfRule>
  </conditionalFormatting>
  <dataValidations count="4">
    <dataValidation type="list" allowBlank="1" sqref="AT5:AT85 AQ5:AR85 AK5:AK85 AH5:AI85 AB5:AB85 Y5:Z85 G10:H12 J5:J85 G7:H8 G5:H5 H6 H30 H13 G14:H16 H17 G18:H19 H20 G21:H25 H26 G27:H27 H28 G29:H29 G31:H85 H9 P10:Q12 S5:S85 P7:Q8 P5:Q5 Q6 Q30 Q13 P14:Q16 Q17 P18:Q19 Q20 P21:Q25 Q26 P27:Q27 Q28 P29:Q29 P31:Q85 Q9" xr:uid="{00000000-0002-0000-0300-000000000000}">
      <formula1>"Yes,No"</formula1>
    </dataValidation>
    <dataValidation type="list" allowBlank="1" sqref="I29 AS5:AS85 AJ5:AJ85 AA5:AA85 I5 I31:I85 I10:I12 I14:I16 I18:I19 I21:I25 I27 I7:I8 R29 R5 R31:R85 R10:R12 R14:R16 R18:R19 R21:R25 R27 R7:R8" xr:uid="{00000000-0002-0000-0300-000003000000}">
      <formula1>"Good finish,Minor defect,Major defect,Discontinued,Not Available"</formula1>
    </dataValidation>
    <dataValidation type="list" allowBlank="1" sqref="G6 G13 G17 G20 G26 G28 G30 G9 P6 P13 P17 P20 P26 P28 P30 P9" xr:uid="{8DA8BEDA-671C-44CD-A484-381D02ABF19D}">
      <formula1>"Yes,No,Represented by Sample"</formula1>
    </dataValidation>
    <dataValidation type="list" allowBlank="1" sqref="I6 I13 I17 I20 I26 I28 I30 I9 R6 R13 R17 R20 R26 R28 R30 R9" xr:uid="{CE4CD301-C9B9-4FB7-8935-8110B9307C35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934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935</v>
      </c>
      <c r="C5" s="25" t="s">
        <v>936</v>
      </c>
      <c r="D5" s="23" t="s">
        <v>937</v>
      </c>
      <c r="E5" s="43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3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938</v>
      </c>
      <c r="C6" s="41" t="s">
        <v>939</v>
      </c>
      <c r="D6" s="39" t="s">
        <v>937</v>
      </c>
      <c r="E6" s="43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940</v>
      </c>
      <c r="C7" s="25" t="s">
        <v>941</v>
      </c>
      <c r="D7" s="23" t="s">
        <v>937</v>
      </c>
      <c r="E7" s="43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942</v>
      </c>
      <c r="C8" s="41" t="s">
        <v>943</v>
      </c>
      <c r="D8" s="39" t="s">
        <v>937</v>
      </c>
      <c r="E8" s="43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944</v>
      </c>
      <c r="C9" s="25" t="s">
        <v>945</v>
      </c>
      <c r="D9" s="23" t="s">
        <v>937</v>
      </c>
      <c r="E9" s="43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946</v>
      </c>
      <c r="C10" s="41" t="s">
        <v>947</v>
      </c>
      <c r="D10" s="39" t="s">
        <v>937</v>
      </c>
      <c r="E10" s="43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948</v>
      </c>
      <c r="C11" s="25" t="s">
        <v>949</v>
      </c>
      <c r="D11" s="23" t="s">
        <v>937</v>
      </c>
      <c r="E11" s="43">
        <v>46126</v>
      </c>
      <c r="F11" s="26" t="s">
        <v>55</v>
      </c>
      <c r="G11" s="26" t="s">
        <v>57</v>
      </c>
      <c r="H11" s="26" t="s">
        <v>57</v>
      </c>
      <c r="I11" s="26" t="s">
        <v>153</v>
      </c>
      <c r="J11" s="26" t="s">
        <v>57</v>
      </c>
      <c r="K11" s="27"/>
      <c r="L11" s="28" t="s">
        <v>56</v>
      </c>
      <c r="M11" s="29" t="str">
        <f t="shared" si="0"/>
        <v>⚠ Missing</v>
      </c>
      <c r="N11" s="43">
        <v>46193</v>
      </c>
      <c r="O11" s="26" t="s">
        <v>55</v>
      </c>
      <c r="P11" s="26" t="s">
        <v>57</v>
      </c>
      <c r="Q11" s="26" t="s">
        <v>57</v>
      </c>
      <c r="R11" s="26" t="s">
        <v>153</v>
      </c>
      <c r="S11" s="26" t="s">
        <v>57</v>
      </c>
      <c r="T11" s="27"/>
      <c r="U11" s="28" t="s">
        <v>56</v>
      </c>
      <c r="V11" s="29" t="str">
        <f t="shared" si="1"/>
        <v>⚠ Missing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950</v>
      </c>
      <c r="C12" s="41" t="s">
        <v>951</v>
      </c>
      <c r="D12" s="39" t="s">
        <v>937</v>
      </c>
      <c r="E12" s="43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952</v>
      </c>
      <c r="C13" s="25" t="s">
        <v>953</v>
      </c>
      <c r="D13" s="23" t="s">
        <v>937</v>
      </c>
      <c r="E13" s="43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954</v>
      </c>
      <c r="C14" s="41" t="s">
        <v>955</v>
      </c>
      <c r="D14" s="39" t="s">
        <v>937</v>
      </c>
      <c r="E14" s="43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956</v>
      </c>
      <c r="C15" s="25" t="s">
        <v>957</v>
      </c>
      <c r="D15" s="23" t="s">
        <v>937</v>
      </c>
      <c r="E15" s="43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958</v>
      </c>
      <c r="C16" s="41" t="s">
        <v>959</v>
      </c>
      <c r="D16" s="39" t="s">
        <v>937</v>
      </c>
      <c r="E16" s="43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46193</v>
      </c>
      <c r="O16" s="26" t="s">
        <v>55</v>
      </c>
      <c r="P16" s="26" t="s">
        <v>57</v>
      </c>
      <c r="Q16" s="26" t="s">
        <v>56</v>
      </c>
      <c r="R16" s="26" t="s">
        <v>6225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960</v>
      </c>
      <c r="C17" s="25" t="s">
        <v>961</v>
      </c>
      <c r="D17" s="23" t="s">
        <v>937</v>
      </c>
      <c r="E17" s="43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962</v>
      </c>
      <c r="C18" s="41" t="s">
        <v>963</v>
      </c>
      <c r="D18" s="39" t="s">
        <v>937</v>
      </c>
      <c r="E18" s="43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964</v>
      </c>
      <c r="C19" s="25" t="s">
        <v>965</v>
      </c>
      <c r="D19" s="23" t="s">
        <v>937</v>
      </c>
      <c r="E19" s="43">
        <v>46126</v>
      </c>
      <c r="F19" s="26" t="s">
        <v>55</v>
      </c>
      <c r="G19" s="26" t="s">
        <v>57</v>
      </c>
      <c r="H19" s="26" t="s">
        <v>57</v>
      </c>
      <c r="I19" s="26" t="s">
        <v>153</v>
      </c>
      <c r="J19" s="26" t="s">
        <v>57</v>
      </c>
      <c r="K19" s="27"/>
      <c r="L19" s="28" t="s">
        <v>56</v>
      </c>
      <c r="M19" s="29" t="str">
        <f t="shared" si="0"/>
        <v>⚠ Missing</v>
      </c>
      <c r="N19" s="43">
        <v>46193</v>
      </c>
      <c r="O19" s="26" t="s">
        <v>55</v>
      </c>
      <c r="P19" s="26" t="s">
        <v>57</v>
      </c>
      <c r="Q19" s="26" t="s">
        <v>57</v>
      </c>
      <c r="R19" s="26" t="s">
        <v>153</v>
      </c>
      <c r="S19" s="26" t="s">
        <v>57</v>
      </c>
      <c r="T19" s="27"/>
      <c r="U19" s="28" t="s">
        <v>56</v>
      </c>
      <c r="V19" s="29" t="str">
        <f t="shared" si="1"/>
        <v>⚠ Missing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966</v>
      </c>
      <c r="C20" s="41" t="s">
        <v>967</v>
      </c>
      <c r="D20" s="39" t="s">
        <v>937</v>
      </c>
      <c r="E20" s="43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968</v>
      </c>
      <c r="C21" s="25" t="s">
        <v>969</v>
      </c>
      <c r="D21" s="23" t="s">
        <v>937</v>
      </c>
      <c r="E21" s="43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970</v>
      </c>
      <c r="C22" s="41" t="s">
        <v>971</v>
      </c>
      <c r="D22" s="39" t="s">
        <v>937</v>
      </c>
      <c r="E22" s="43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972</v>
      </c>
      <c r="C23" s="25" t="s">
        <v>973</v>
      </c>
      <c r="D23" s="23" t="s">
        <v>937</v>
      </c>
      <c r="E23" s="43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974</v>
      </c>
      <c r="C24" s="41" t="s">
        <v>975</v>
      </c>
      <c r="D24" s="39" t="s">
        <v>937</v>
      </c>
      <c r="E24" s="43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976</v>
      </c>
      <c r="C25" s="25" t="s">
        <v>977</v>
      </c>
      <c r="D25" s="23" t="s">
        <v>937</v>
      </c>
      <c r="E25" s="43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978</v>
      </c>
      <c r="C26" s="41" t="s">
        <v>979</v>
      </c>
      <c r="D26" s="39" t="s">
        <v>937</v>
      </c>
      <c r="E26" s="43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980</v>
      </c>
      <c r="C27" s="25" t="s">
        <v>981</v>
      </c>
      <c r="D27" s="23" t="s">
        <v>937</v>
      </c>
      <c r="E27" s="43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982</v>
      </c>
      <c r="C28" s="41" t="s">
        <v>983</v>
      </c>
      <c r="D28" s="39" t="s">
        <v>937</v>
      </c>
      <c r="E28" s="43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984</v>
      </c>
      <c r="C29" s="25" t="s">
        <v>985</v>
      </c>
      <c r="D29" s="23" t="s">
        <v>937</v>
      </c>
      <c r="E29" s="43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986</v>
      </c>
      <c r="C30" s="41" t="s">
        <v>987</v>
      </c>
      <c r="D30" s="39" t="s">
        <v>937</v>
      </c>
      <c r="E30" s="43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988</v>
      </c>
      <c r="C31" s="25" t="s">
        <v>989</v>
      </c>
      <c r="D31" s="23" t="s">
        <v>937</v>
      </c>
      <c r="E31" s="43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990</v>
      </c>
      <c r="C32" s="41" t="s">
        <v>991</v>
      </c>
      <c r="D32" s="39" t="s">
        <v>937</v>
      </c>
      <c r="E32" s="43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992</v>
      </c>
      <c r="C33" s="25" t="s">
        <v>993</v>
      </c>
      <c r="D33" s="23" t="s">
        <v>937</v>
      </c>
      <c r="E33" s="43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994</v>
      </c>
      <c r="C34" s="41" t="s">
        <v>995</v>
      </c>
      <c r="D34" s="39" t="s">
        <v>937</v>
      </c>
      <c r="E34" s="43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996</v>
      </c>
      <c r="C35" s="25" t="s">
        <v>997</v>
      </c>
      <c r="D35" s="23" t="s">
        <v>937</v>
      </c>
      <c r="E35" s="43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998</v>
      </c>
      <c r="C36" s="41" t="s">
        <v>999</v>
      </c>
      <c r="D36" s="39" t="s">
        <v>937</v>
      </c>
      <c r="E36" s="43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1000</v>
      </c>
      <c r="C37" s="25" t="s">
        <v>1001</v>
      </c>
      <c r="D37" s="23" t="s">
        <v>937</v>
      </c>
      <c r="E37" s="43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3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1002</v>
      </c>
      <c r="C38" s="41" t="s">
        <v>1003</v>
      </c>
      <c r="D38" s="39" t="s">
        <v>937</v>
      </c>
      <c r="E38" s="43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3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1004</v>
      </c>
      <c r="C39" s="25" t="s">
        <v>1005</v>
      </c>
      <c r="D39" s="23" t="s">
        <v>937</v>
      </c>
      <c r="E39" s="43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3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1006</v>
      </c>
      <c r="C40" s="41" t="s">
        <v>1007</v>
      </c>
      <c r="D40" s="39" t="s">
        <v>937</v>
      </c>
      <c r="E40" s="43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3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1008</v>
      </c>
      <c r="C41" s="25" t="s">
        <v>1009</v>
      </c>
      <c r="D41" s="23" t="s">
        <v>937</v>
      </c>
      <c r="E41" s="43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3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1010</v>
      </c>
      <c r="C42" s="41" t="s">
        <v>1011</v>
      </c>
      <c r="D42" s="39" t="s">
        <v>937</v>
      </c>
      <c r="E42" s="43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3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1012</v>
      </c>
      <c r="C43" s="25" t="s">
        <v>1013</v>
      </c>
      <c r="D43" s="23" t="s">
        <v>937</v>
      </c>
      <c r="E43" s="43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3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1014</v>
      </c>
      <c r="C44" s="41" t="s">
        <v>1015</v>
      </c>
      <c r="D44" s="39" t="s">
        <v>937</v>
      </c>
      <c r="E44" s="43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3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1016</v>
      </c>
      <c r="C45" s="25" t="s">
        <v>1017</v>
      </c>
      <c r="D45" s="23" t="s">
        <v>937</v>
      </c>
      <c r="E45" s="43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3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1018</v>
      </c>
      <c r="C46" s="41" t="s">
        <v>1019</v>
      </c>
      <c r="D46" s="39" t="s">
        <v>937</v>
      </c>
      <c r="E46" s="43">
        <v>46126</v>
      </c>
      <c r="F46" s="26" t="s">
        <v>55</v>
      </c>
      <c r="G46" s="26" t="s">
        <v>57</v>
      </c>
      <c r="H46" s="26" t="s">
        <v>57</v>
      </c>
      <c r="I46" s="26" t="s">
        <v>153</v>
      </c>
      <c r="J46" s="26" t="s">
        <v>57</v>
      </c>
      <c r="K46" s="27"/>
      <c r="L46" s="28" t="s">
        <v>56</v>
      </c>
      <c r="M46" s="29" t="str">
        <f t="shared" si="5"/>
        <v>⚠ Missing</v>
      </c>
      <c r="N46" s="43">
        <v>46193</v>
      </c>
      <c r="O46" s="26" t="s">
        <v>55</v>
      </c>
      <c r="P46" s="26" t="s">
        <v>57</v>
      </c>
      <c r="Q46" s="26" t="s">
        <v>57</v>
      </c>
      <c r="R46" s="26" t="s">
        <v>153</v>
      </c>
      <c r="S46" s="26" t="s">
        <v>57</v>
      </c>
      <c r="T46" s="27"/>
      <c r="U46" s="28" t="s">
        <v>56</v>
      </c>
      <c r="V46" s="29" t="str">
        <f t="shared" si="1"/>
        <v>⚠ Missing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1020</v>
      </c>
      <c r="C47" s="25" t="s">
        <v>1021</v>
      </c>
      <c r="D47" s="23" t="s">
        <v>937</v>
      </c>
      <c r="E47" s="43">
        <v>46126</v>
      </c>
      <c r="F47" s="26" t="s">
        <v>55</v>
      </c>
      <c r="G47" s="26" t="s">
        <v>57</v>
      </c>
      <c r="H47" s="26" t="s">
        <v>57</v>
      </c>
      <c r="I47" s="26" t="s">
        <v>153</v>
      </c>
      <c r="J47" s="26" t="s">
        <v>57</v>
      </c>
      <c r="K47" s="27"/>
      <c r="L47" s="28" t="s">
        <v>56</v>
      </c>
      <c r="M47" s="29" t="str">
        <f t="shared" si="5"/>
        <v>⚠ Missing</v>
      </c>
      <c r="N47" s="43">
        <v>46193</v>
      </c>
      <c r="O47" s="26" t="s">
        <v>55</v>
      </c>
      <c r="P47" s="26" t="s">
        <v>57</v>
      </c>
      <c r="Q47" s="26" t="s">
        <v>57</v>
      </c>
      <c r="R47" s="26" t="s">
        <v>153</v>
      </c>
      <c r="S47" s="26" t="s">
        <v>57</v>
      </c>
      <c r="T47" s="27"/>
      <c r="U47" s="28" t="s">
        <v>56</v>
      </c>
      <c r="V47" s="29" t="str">
        <f t="shared" si="1"/>
        <v>⚠ Missing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1022</v>
      </c>
      <c r="C48" s="41" t="s">
        <v>1023</v>
      </c>
      <c r="D48" s="39" t="s">
        <v>937</v>
      </c>
      <c r="E48" s="43">
        <v>46126</v>
      </c>
      <c r="F48" s="26" t="s">
        <v>55</v>
      </c>
      <c r="G48" s="26" t="s">
        <v>57</v>
      </c>
      <c r="H48" s="26" t="s">
        <v>57</v>
      </c>
      <c r="I48" s="26" t="s">
        <v>153</v>
      </c>
      <c r="J48" s="26" t="s">
        <v>57</v>
      </c>
      <c r="K48" s="27"/>
      <c r="L48" s="28" t="s">
        <v>56</v>
      </c>
      <c r="M48" s="29" t="str">
        <f t="shared" si="5"/>
        <v>⚠ Missing</v>
      </c>
      <c r="N48" s="43">
        <v>46193</v>
      </c>
      <c r="O48" s="26" t="s">
        <v>55</v>
      </c>
      <c r="P48" s="26" t="s">
        <v>57</v>
      </c>
      <c r="Q48" s="26" t="s">
        <v>57</v>
      </c>
      <c r="R48" s="26" t="s">
        <v>153</v>
      </c>
      <c r="S48" s="26" t="s">
        <v>57</v>
      </c>
      <c r="T48" s="27"/>
      <c r="U48" s="28" t="s">
        <v>56</v>
      </c>
      <c r="V48" s="29" t="str">
        <f t="shared" si="1"/>
        <v>⚠ Missing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1024</v>
      </c>
      <c r="C49" s="25" t="s">
        <v>1025</v>
      </c>
      <c r="D49" s="23" t="s">
        <v>937</v>
      </c>
      <c r="E49" s="43">
        <v>46126</v>
      </c>
      <c r="F49" s="26" t="s">
        <v>55</v>
      </c>
      <c r="G49" s="26" t="s">
        <v>57</v>
      </c>
      <c r="H49" s="26" t="s">
        <v>57</v>
      </c>
      <c r="I49" s="26" t="s">
        <v>153</v>
      </c>
      <c r="J49" s="26" t="s">
        <v>57</v>
      </c>
      <c r="K49" s="27"/>
      <c r="L49" s="28" t="s">
        <v>56</v>
      </c>
      <c r="M49" s="29" t="str">
        <f t="shared" si="5"/>
        <v>⚠ Missing</v>
      </c>
      <c r="N49" s="43">
        <v>46193</v>
      </c>
      <c r="O49" s="26" t="s">
        <v>55</v>
      </c>
      <c r="P49" s="26" t="s">
        <v>57</v>
      </c>
      <c r="Q49" s="26" t="s">
        <v>57</v>
      </c>
      <c r="R49" s="26" t="s">
        <v>153</v>
      </c>
      <c r="S49" s="26" t="s">
        <v>57</v>
      </c>
      <c r="T49" s="27"/>
      <c r="U49" s="28" t="s">
        <v>56</v>
      </c>
      <c r="V49" s="29" t="str">
        <f t="shared" si="1"/>
        <v>⚠ Missing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1026</v>
      </c>
      <c r="C50" s="41" t="s">
        <v>1027</v>
      </c>
      <c r="D50" s="39" t="s">
        <v>937</v>
      </c>
      <c r="E50" s="43">
        <v>46126</v>
      </c>
      <c r="F50" s="26" t="s">
        <v>55</v>
      </c>
      <c r="G50" s="26" t="s">
        <v>57</v>
      </c>
      <c r="H50" s="26" t="s">
        <v>57</v>
      </c>
      <c r="I50" s="26" t="s">
        <v>153</v>
      </c>
      <c r="J50" s="26" t="s">
        <v>57</v>
      </c>
      <c r="K50" s="27"/>
      <c r="L50" s="28" t="s">
        <v>56</v>
      </c>
      <c r="M50" s="29" t="str">
        <f t="shared" si="5"/>
        <v>⚠ Missing</v>
      </c>
      <c r="N50" s="43">
        <v>46193</v>
      </c>
      <c r="O50" s="26" t="s">
        <v>55</v>
      </c>
      <c r="P50" s="26" t="s">
        <v>57</v>
      </c>
      <c r="Q50" s="26" t="s">
        <v>57</v>
      </c>
      <c r="R50" s="26" t="s">
        <v>153</v>
      </c>
      <c r="S50" s="26" t="s">
        <v>57</v>
      </c>
      <c r="T50" s="27"/>
      <c r="U50" s="28" t="s">
        <v>56</v>
      </c>
      <c r="V50" s="29" t="str">
        <f t="shared" si="1"/>
        <v>⚠ Missing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1028</v>
      </c>
      <c r="C51" s="25" t="s">
        <v>1029</v>
      </c>
      <c r="D51" s="23" t="s">
        <v>937</v>
      </c>
      <c r="E51" s="43">
        <v>46126</v>
      </c>
      <c r="F51" s="26" t="s">
        <v>55</v>
      </c>
      <c r="G51" s="26" t="s">
        <v>57</v>
      </c>
      <c r="H51" s="26" t="s">
        <v>57</v>
      </c>
      <c r="I51" s="26" t="s">
        <v>153</v>
      </c>
      <c r="J51" s="26" t="s">
        <v>57</v>
      </c>
      <c r="K51" s="27"/>
      <c r="L51" s="28" t="s">
        <v>56</v>
      </c>
      <c r="M51" s="29" t="str">
        <f t="shared" si="5"/>
        <v>⚠ Missing</v>
      </c>
      <c r="N51" s="43">
        <v>46193</v>
      </c>
      <c r="O51" s="26" t="s">
        <v>55</v>
      </c>
      <c r="P51" s="26" t="s">
        <v>57</v>
      </c>
      <c r="Q51" s="26" t="s">
        <v>57</v>
      </c>
      <c r="R51" s="26" t="s">
        <v>153</v>
      </c>
      <c r="S51" s="26" t="s">
        <v>57</v>
      </c>
      <c r="T51" s="27"/>
      <c r="U51" s="28" t="s">
        <v>56</v>
      </c>
      <c r="V51" s="29" t="str">
        <f t="shared" si="1"/>
        <v>⚠ Missing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1030</v>
      </c>
      <c r="C52" s="41" t="s">
        <v>1031</v>
      </c>
      <c r="D52" s="39" t="s">
        <v>937</v>
      </c>
      <c r="E52" s="43">
        <v>46126</v>
      </c>
      <c r="F52" s="26" t="s">
        <v>55</v>
      </c>
      <c r="G52" s="26" t="s">
        <v>57</v>
      </c>
      <c r="H52" s="26" t="s">
        <v>57</v>
      </c>
      <c r="I52" s="26" t="s">
        <v>153</v>
      </c>
      <c r="J52" s="26" t="s">
        <v>57</v>
      </c>
      <c r="K52" s="27"/>
      <c r="L52" s="28" t="s">
        <v>56</v>
      </c>
      <c r="M52" s="29" t="str">
        <f t="shared" si="5"/>
        <v>⚠ Missing</v>
      </c>
      <c r="N52" s="43">
        <v>46193</v>
      </c>
      <c r="O52" s="26" t="s">
        <v>55</v>
      </c>
      <c r="P52" s="26" t="s">
        <v>57</v>
      </c>
      <c r="Q52" s="26" t="s">
        <v>57</v>
      </c>
      <c r="R52" s="26" t="s">
        <v>153</v>
      </c>
      <c r="S52" s="26" t="s">
        <v>57</v>
      </c>
      <c r="T52" s="27"/>
      <c r="U52" s="28" t="s">
        <v>56</v>
      </c>
      <c r="V52" s="29" t="str">
        <f t="shared" si="1"/>
        <v>⚠ Missing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1032</v>
      </c>
      <c r="C53" s="25" t="s">
        <v>1033</v>
      </c>
      <c r="D53" s="23" t="s">
        <v>937</v>
      </c>
      <c r="E53" s="43">
        <v>46126</v>
      </c>
      <c r="F53" s="26" t="s">
        <v>55</v>
      </c>
      <c r="G53" s="26" t="s">
        <v>57</v>
      </c>
      <c r="H53" s="26" t="s">
        <v>57</v>
      </c>
      <c r="I53" s="26" t="s">
        <v>153</v>
      </c>
      <c r="J53" s="26" t="s">
        <v>57</v>
      </c>
      <c r="K53" s="27"/>
      <c r="L53" s="28" t="s">
        <v>56</v>
      </c>
      <c r="M53" s="29" t="str">
        <f t="shared" si="5"/>
        <v>⚠ Missing</v>
      </c>
      <c r="N53" s="43">
        <v>46193</v>
      </c>
      <c r="O53" s="26" t="s">
        <v>55</v>
      </c>
      <c r="P53" s="26" t="s">
        <v>57</v>
      </c>
      <c r="Q53" s="26" t="s">
        <v>57</v>
      </c>
      <c r="R53" s="26" t="s">
        <v>153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1034</v>
      </c>
      <c r="C54" s="41" t="s">
        <v>1035</v>
      </c>
      <c r="D54" s="39" t="s">
        <v>1036</v>
      </c>
      <c r="E54" s="43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3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1037</v>
      </c>
      <c r="C55" s="25" t="s">
        <v>1038</v>
      </c>
      <c r="D55" s="23" t="s">
        <v>1036</v>
      </c>
      <c r="E55" s="43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3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1039</v>
      </c>
      <c r="C56" s="41" t="s">
        <v>1040</v>
      </c>
      <c r="D56" s="39" t="s">
        <v>1036</v>
      </c>
      <c r="E56" s="43">
        <v>46126</v>
      </c>
      <c r="F56" s="26" t="s">
        <v>55</v>
      </c>
      <c r="G56" s="26" t="s">
        <v>57</v>
      </c>
      <c r="H56" s="26" t="s">
        <v>57</v>
      </c>
      <c r="I56" s="26" t="s">
        <v>153</v>
      </c>
      <c r="J56" s="26" t="s">
        <v>57</v>
      </c>
      <c r="K56" s="27"/>
      <c r="L56" s="28" t="s">
        <v>56</v>
      </c>
      <c r="M56" s="29" t="str">
        <f t="shared" si="5"/>
        <v>⚠ Missing</v>
      </c>
      <c r="N56" s="43">
        <v>46193</v>
      </c>
      <c r="O56" s="26" t="s">
        <v>55</v>
      </c>
      <c r="P56" s="26" t="s">
        <v>57</v>
      </c>
      <c r="Q56" s="26" t="s">
        <v>57</v>
      </c>
      <c r="R56" s="26" t="s">
        <v>153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1041</v>
      </c>
      <c r="C57" s="25" t="s">
        <v>1042</v>
      </c>
      <c r="D57" s="23" t="s">
        <v>1036</v>
      </c>
      <c r="E57" s="43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3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1043</v>
      </c>
      <c r="C58" s="41" t="s">
        <v>1044</v>
      </c>
      <c r="D58" s="39" t="s">
        <v>1036</v>
      </c>
      <c r="E58" s="43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3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1045</v>
      </c>
      <c r="C59" s="25" t="s">
        <v>1046</v>
      </c>
      <c r="D59" s="23" t="s">
        <v>1036</v>
      </c>
      <c r="E59" s="43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3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1047</v>
      </c>
      <c r="C60" s="41" t="s">
        <v>1048</v>
      </c>
      <c r="D60" s="39" t="s">
        <v>1036</v>
      </c>
      <c r="E60" s="43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3">
        <v>46193</v>
      </c>
      <c r="O60" s="26" t="s">
        <v>55</v>
      </c>
      <c r="P60" s="26" t="s">
        <v>57</v>
      </c>
      <c r="Q60" s="26" t="s">
        <v>56</v>
      </c>
      <c r="R60" s="26" t="s">
        <v>6225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1049</v>
      </c>
      <c r="C61" s="25" t="s">
        <v>1050</v>
      </c>
      <c r="D61" s="23" t="s">
        <v>1036</v>
      </c>
      <c r="E61" s="43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3">
        <v>46193</v>
      </c>
      <c r="O61" s="26" t="s">
        <v>55</v>
      </c>
      <c r="P61" s="26" t="s">
        <v>57</v>
      </c>
      <c r="Q61" s="26" t="s">
        <v>56</v>
      </c>
      <c r="R61" s="26" t="s">
        <v>6225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1051</v>
      </c>
      <c r="C62" s="41" t="s">
        <v>1052</v>
      </c>
      <c r="D62" s="39" t="s">
        <v>1036</v>
      </c>
      <c r="E62" s="43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3">
        <v>46193</v>
      </c>
      <c r="O62" s="26" t="s">
        <v>55</v>
      </c>
      <c r="P62" s="26" t="s">
        <v>57</v>
      </c>
      <c r="Q62" s="26" t="s">
        <v>56</v>
      </c>
      <c r="R62" s="26" t="s">
        <v>6225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1053</v>
      </c>
      <c r="C63" s="25" t="s">
        <v>1054</v>
      </c>
      <c r="D63" s="23" t="s">
        <v>1036</v>
      </c>
      <c r="E63" s="43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3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1055</v>
      </c>
      <c r="C64" s="41" t="s">
        <v>1056</v>
      </c>
      <c r="D64" s="39" t="s">
        <v>1036</v>
      </c>
      <c r="E64" s="43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3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1057</v>
      </c>
      <c r="C65" s="25" t="s">
        <v>1058</v>
      </c>
      <c r="D65" s="23" t="s">
        <v>1036</v>
      </c>
      <c r="E65" s="43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3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1059</v>
      </c>
      <c r="C66" s="41" t="s">
        <v>1060</v>
      </c>
      <c r="D66" s="39" t="s">
        <v>1036</v>
      </c>
      <c r="E66" s="43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3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1061</v>
      </c>
      <c r="C67" s="25" t="s">
        <v>1062</v>
      </c>
      <c r="D67" s="23" t="s">
        <v>1036</v>
      </c>
      <c r="E67" s="43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3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1063</v>
      </c>
      <c r="C68" s="41" t="s">
        <v>1064</v>
      </c>
      <c r="D68" s="39" t="s">
        <v>1036</v>
      </c>
      <c r="E68" s="43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3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1065</v>
      </c>
      <c r="C69" s="25" t="s">
        <v>1066</v>
      </c>
      <c r="D69" s="23" t="s">
        <v>1036</v>
      </c>
      <c r="E69" s="43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9">IF(E69="","",IF(H69="Yes","❌ Disc",IF(G69="No","⚠ Missing",IF(J69="Yes","✓ OK","⚠ Check"))))</f>
        <v>✓ OK</v>
      </c>
      <c r="N69" s="43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0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0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00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1067</v>
      </c>
      <c r="C70" s="41" t="s">
        <v>1068</v>
      </c>
      <c r="D70" s="39" t="s">
        <v>1036</v>
      </c>
      <c r="E70" s="43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9"/>
        <v>✓ OK</v>
      </c>
      <c r="N70" s="43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1069</v>
      </c>
      <c r="C71" s="25" t="s">
        <v>1070</v>
      </c>
      <c r="D71" s="23" t="s">
        <v>1036</v>
      </c>
      <c r="E71" s="43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3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1071</v>
      </c>
      <c r="C72" s="41" t="s">
        <v>1072</v>
      </c>
      <c r="D72" s="39" t="s">
        <v>1036</v>
      </c>
      <c r="E72" s="43">
        <v>46126</v>
      </c>
      <c r="F72" s="26" t="s">
        <v>55</v>
      </c>
      <c r="G72" s="26" t="s">
        <v>57</v>
      </c>
      <c r="H72" s="26" t="s">
        <v>57</v>
      </c>
      <c r="I72" s="26" t="s">
        <v>153</v>
      </c>
      <c r="J72" s="26" t="s">
        <v>57</v>
      </c>
      <c r="K72" s="27"/>
      <c r="L72" s="28" t="s">
        <v>56</v>
      </c>
      <c r="M72" s="29" t="str">
        <f t="shared" si="9"/>
        <v>⚠ Missing</v>
      </c>
      <c r="N72" s="43">
        <v>46193</v>
      </c>
      <c r="O72" s="26" t="s">
        <v>55</v>
      </c>
      <c r="P72" s="26" t="s">
        <v>57</v>
      </c>
      <c r="Q72" s="26" t="s">
        <v>57</v>
      </c>
      <c r="R72" s="26" t="s">
        <v>153</v>
      </c>
      <c r="S72" s="26" t="s">
        <v>57</v>
      </c>
      <c r="T72" s="27"/>
      <c r="U72" s="28" t="s">
        <v>56</v>
      </c>
      <c r="V72" s="29" t="str">
        <f t="shared" si="10"/>
        <v>⚠ Missing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1073</v>
      </c>
      <c r="C73" s="25" t="s">
        <v>1074</v>
      </c>
      <c r="D73" s="23" t="s">
        <v>1036</v>
      </c>
      <c r="E73" s="43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9"/>
        <v>✓ OK</v>
      </c>
      <c r="N73" s="43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1075</v>
      </c>
      <c r="C74" s="41" t="s">
        <v>1076</v>
      </c>
      <c r="D74" s="39" t="s">
        <v>1036</v>
      </c>
      <c r="E74" s="43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9"/>
        <v>✓ OK</v>
      </c>
      <c r="N74" s="43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1077</v>
      </c>
      <c r="C75" s="25" t="s">
        <v>1078</v>
      </c>
      <c r="D75" s="23" t="s">
        <v>1036</v>
      </c>
      <c r="E75" s="43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3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1079</v>
      </c>
      <c r="C76" s="41" t="s">
        <v>1080</v>
      </c>
      <c r="D76" s="39" t="s">
        <v>1036</v>
      </c>
      <c r="E76" s="43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3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1081</v>
      </c>
      <c r="C77" s="25" t="s">
        <v>1082</v>
      </c>
      <c r="D77" s="23" t="s">
        <v>1036</v>
      </c>
      <c r="E77" s="43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3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1083</v>
      </c>
      <c r="C78" s="41" t="s">
        <v>1084</v>
      </c>
      <c r="D78" s="39" t="s">
        <v>1036</v>
      </c>
      <c r="E78" s="43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43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1085</v>
      </c>
      <c r="C79" s="25" t="s">
        <v>1086</v>
      </c>
      <c r="D79" s="23" t="s">
        <v>1036</v>
      </c>
      <c r="E79" s="43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9"/>
        <v>✓ OK</v>
      </c>
      <c r="N79" s="43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1087</v>
      </c>
      <c r="C80" s="41" t="s">
        <v>1088</v>
      </c>
      <c r="D80" s="39" t="s">
        <v>1036</v>
      </c>
      <c r="E80" s="43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9"/>
        <v>✓ OK</v>
      </c>
      <c r="N80" s="43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8" customHeight="1" x14ac:dyDescent="0.3">
      <c r="A81" s="23">
        <v>77</v>
      </c>
      <c r="B81" s="24" t="s">
        <v>1089</v>
      </c>
      <c r="C81" s="25" t="s">
        <v>1090</v>
      </c>
      <c r="D81" s="23" t="s">
        <v>1036</v>
      </c>
      <c r="E81" s="43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9"/>
        <v>✓ OK</v>
      </c>
      <c r="N81" s="43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8" customHeight="1" x14ac:dyDescent="0.3">
      <c r="A82" s="39">
        <v>78</v>
      </c>
      <c r="B82" s="40" t="s">
        <v>1091</v>
      </c>
      <c r="C82" s="41" t="s">
        <v>1092</v>
      </c>
      <c r="D82" s="39" t="s">
        <v>1036</v>
      </c>
      <c r="E82" s="43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9"/>
        <v>✓ OK</v>
      </c>
      <c r="N82" s="43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8" customHeight="1" x14ac:dyDescent="0.3">
      <c r="A83" s="23">
        <v>79</v>
      </c>
      <c r="B83" s="24" t="s">
        <v>1093</v>
      </c>
      <c r="C83" s="25" t="s">
        <v>1094</v>
      </c>
      <c r="D83" s="23" t="s">
        <v>1036</v>
      </c>
      <c r="E83" s="43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9"/>
        <v>✓ OK</v>
      </c>
      <c r="N83" s="43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8" customHeight="1" x14ac:dyDescent="0.3">
      <c r="A84" s="39">
        <v>80</v>
      </c>
      <c r="B84" s="40" t="s">
        <v>1095</v>
      </c>
      <c r="C84" s="41" t="s">
        <v>1096</v>
      </c>
      <c r="D84" s="39" t="s">
        <v>1036</v>
      </c>
      <c r="E84" s="43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9"/>
        <v>✓ OK</v>
      </c>
      <c r="N84" s="43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8" customHeight="1" x14ac:dyDescent="0.3">
      <c r="A85" s="23">
        <v>81</v>
      </c>
      <c r="B85" s="24" t="s">
        <v>1097</v>
      </c>
      <c r="C85" s="25" t="s">
        <v>1098</v>
      </c>
      <c r="D85" s="23" t="s">
        <v>1036</v>
      </c>
      <c r="E85" s="43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9"/>
        <v>✓ OK</v>
      </c>
      <c r="N85" s="43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  <row r="86" spans="1:49" ht="18" customHeight="1" x14ac:dyDescent="0.3">
      <c r="A86" s="39">
        <v>82</v>
      </c>
      <c r="B86" s="40" t="s">
        <v>1099</v>
      </c>
      <c r="C86" s="41" t="s">
        <v>1100</v>
      </c>
      <c r="D86" s="39" t="s">
        <v>1036</v>
      </c>
      <c r="E86" s="43">
        <v>46126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9"/>
        <v>✓ OK</v>
      </c>
      <c r="N86" s="43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0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11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2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3"/>
        <v/>
      </c>
    </row>
    <row r="87" spans="1:49" ht="18" customHeight="1" x14ac:dyDescent="0.3">
      <c r="A87" s="23">
        <v>83</v>
      </c>
      <c r="B87" s="24" t="s">
        <v>1101</v>
      </c>
      <c r="C87" s="25" t="s">
        <v>1102</v>
      </c>
      <c r="D87" s="23" t="s">
        <v>1036</v>
      </c>
      <c r="E87" s="43">
        <v>46126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9"/>
        <v>✓ OK</v>
      </c>
      <c r="N87" s="43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0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11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2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3"/>
        <v/>
      </c>
    </row>
    <row r="88" spans="1:49" ht="18" customHeight="1" x14ac:dyDescent="0.3">
      <c r="A88" s="39">
        <v>84</v>
      </c>
      <c r="B88" s="40" t="s">
        <v>1103</v>
      </c>
      <c r="C88" s="41" t="s">
        <v>1104</v>
      </c>
      <c r="D88" s="39" t="s">
        <v>1036</v>
      </c>
      <c r="E88" s="43">
        <v>46126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9"/>
        <v>✓ OK</v>
      </c>
      <c r="N88" s="43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0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11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2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3"/>
        <v/>
      </c>
    </row>
    <row r="89" spans="1:49" ht="18" customHeight="1" x14ac:dyDescent="0.3">
      <c r="A89" s="23">
        <v>85</v>
      </c>
      <c r="B89" s="24" t="s">
        <v>1105</v>
      </c>
      <c r="C89" s="25" t="s">
        <v>1106</v>
      </c>
      <c r="D89" s="23" t="s">
        <v>1036</v>
      </c>
      <c r="E89" s="43">
        <v>46126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9"/>
        <v>✓ OK</v>
      </c>
      <c r="N89" s="43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0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11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2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3"/>
        <v/>
      </c>
    </row>
    <row r="90" spans="1:49" ht="18" customHeight="1" x14ac:dyDescent="0.3">
      <c r="A90" s="39">
        <v>86</v>
      </c>
      <c r="B90" s="40" t="s">
        <v>1107</v>
      </c>
      <c r="C90" s="41" t="s">
        <v>1108</v>
      </c>
      <c r="D90" s="39" t="s">
        <v>1036</v>
      </c>
      <c r="E90" s="43">
        <v>46126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9"/>
        <v>✓ OK</v>
      </c>
      <c r="N90" s="43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0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11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2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3"/>
        <v/>
      </c>
    </row>
    <row r="91" spans="1:49" ht="18" customHeight="1" x14ac:dyDescent="0.3">
      <c r="A91" s="23">
        <v>87</v>
      </c>
      <c r="B91" s="24" t="s">
        <v>1109</v>
      </c>
      <c r="C91" s="25" t="s">
        <v>1110</v>
      </c>
      <c r="D91" s="23" t="s">
        <v>1036</v>
      </c>
      <c r="E91" s="43">
        <v>46126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9"/>
        <v>✓ OK</v>
      </c>
      <c r="N91" s="43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0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11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2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3"/>
        <v/>
      </c>
    </row>
    <row r="92" spans="1:49" ht="18" customHeight="1" x14ac:dyDescent="0.3">
      <c r="A92" s="39">
        <v>88</v>
      </c>
      <c r="B92" s="40" t="s">
        <v>1111</v>
      </c>
      <c r="C92" s="41" t="s">
        <v>1112</v>
      </c>
      <c r="D92" s="39" t="s">
        <v>1036</v>
      </c>
      <c r="E92" s="43">
        <v>46126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9"/>
        <v>✓ OK</v>
      </c>
      <c r="N92" s="43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0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11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2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3"/>
        <v/>
      </c>
    </row>
    <row r="93" spans="1:49" ht="18" customHeight="1" x14ac:dyDescent="0.3">
      <c r="A93" s="23">
        <v>89</v>
      </c>
      <c r="B93" s="24" t="s">
        <v>1113</v>
      </c>
      <c r="C93" s="25" t="s">
        <v>1114</v>
      </c>
      <c r="D93" s="23" t="s">
        <v>1036</v>
      </c>
      <c r="E93" s="43">
        <v>46126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9"/>
        <v>✓ OK</v>
      </c>
      <c r="N93" s="43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0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11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2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3"/>
        <v/>
      </c>
    </row>
    <row r="94" spans="1:49" ht="18" customHeight="1" x14ac:dyDescent="0.3">
      <c r="A94" s="39">
        <v>90</v>
      </c>
      <c r="B94" s="40" t="s">
        <v>1115</v>
      </c>
      <c r="C94" s="41" t="s">
        <v>1116</v>
      </c>
      <c r="D94" s="39" t="s">
        <v>1036</v>
      </c>
      <c r="E94" s="43">
        <v>46126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9"/>
        <v>✓ OK</v>
      </c>
      <c r="N94" s="43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0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11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2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3"/>
        <v/>
      </c>
    </row>
    <row r="95" spans="1:49" ht="18" customHeight="1" x14ac:dyDescent="0.3">
      <c r="A95" s="23">
        <v>91</v>
      </c>
      <c r="B95" s="24" t="s">
        <v>1117</v>
      </c>
      <c r="C95" s="25" t="s">
        <v>1118</v>
      </c>
      <c r="D95" s="23" t="s">
        <v>1036</v>
      </c>
      <c r="E95" s="43">
        <v>46126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9"/>
        <v>✓ OK</v>
      </c>
      <c r="N95" s="43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0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11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2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3"/>
        <v/>
      </c>
    </row>
    <row r="96" spans="1:49" ht="18" customHeight="1" x14ac:dyDescent="0.3">
      <c r="A96" s="39">
        <v>92</v>
      </c>
      <c r="B96" s="40" t="s">
        <v>1119</v>
      </c>
      <c r="C96" s="41" t="s">
        <v>1120</v>
      </c>
      <c r="D96" s="39" t="s">
        <v>1036</v>
      </c>
      <c r="E96" s="43">
        <v>46126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9"/>
        <v>✓ OK</v>
      </c>
      <c r="N96" s="43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0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11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2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3"/>
        <v/>
      </c>
    </row>
    <row r="97" spans="1:49" ht="18" customHeight="1" x14ac:dyDescent="0.3">
      <c r="A97" s="23">
        <v>93</v>
      </c>
      <c r="B97" s="24" t="s">
        <v>1121</v>
      </c>
      <c r="C97" s="25" t="s">
        <v>1122</v>
      </c>
      <c r="D97" s="23" t="s">
        <v>1036</v>
      </c>
      <c r="E97" s="43">
        <v>46126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9"/>
        <v>✓ OK</v>
      </c>
      <c r="N97" s="43">
        <v>46193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0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11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2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3"/>
        <v/>
      </c>
    </row>
    <row r="98" spans="1:49" ht="18" customHeight="1" x14ac:dyDescent="0.3">
      <c r="A98" s="39">
        <v>94</v>
      </c>
      <c r="B98" s="40" t="s">
        <v>1123</v>
      </c>
      <c r="C98" s="41" t="s">
        <v>1124</v>
      </c>
      <c r="D98" s="39" t="s">
        <v>1036</v>
      </c>
      <c r="E98" s="43">
        <v>46126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9"/>
        <v>✓ OK</v>
      </c>
      <c r="N98" s="43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0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11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2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3"/>
        <v/>
      </c>
    </row>
    <row r="99" spans="1:49" ht="18" customHeight="1" x14ac:dyDescent="0.3">
      <c r="A99" s="23">
        <v>95</v>
      </c>
      <c r="B99" s="24" t="s">
        <v>1125</v>
      </c>
      <c r="C99" s="25" t="s">
        <v>1126</v>
      </c>
      <c r="D99" s="23" t="s">
        <v>1036</v>
      </c>
      <c r="E99" s="43">
        <v>46126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9"/>
        <v>✓ OK</v>
      </c>
      <c r="N99" s="43">
        <v>46193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0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11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2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3"/>
        <v/>
      </c>
    </row>
    <row r="100" spans="1:49" ht="18" customHeight="1" x14ac:dyDescent="0.3">
      <c r="A100" s="39">
        <v>96</v>
      </c>
      <c r="B100" s="40" t="s">
        <v>1127</v>
      </c>
      <c r="C100" s="41" t="s">
        <v>1128</v>
      </c>
      <c r="D100" s="39" t="s">
        <v>1036</v>
      </c>
      <c r="E100" s="43">
        <v>46126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9"/>
        <v>✓ OK</v>
      </c>
      <c r="N100" s="43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0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11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2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3"/>
        <v/>
      </c>
    </row>
    <row r="101" spans="1:49" ht="18" customHeight="1" x14ac:dyDescent="0.3">
      <c r="A101" s="23">
        <v>97</v>
      </c>
      <c r="B101" s="24" t="s">
        <v>1129</v>
      </c>
      <c r="C101" s="25" t="s">
        <v>1130</v>
      </c>
      <c r="D101" s="23" t="s">
        <v>1036</v>
      </c>
      <c r="E101" s="43">
        <v>46126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4">IF(E101="","",IF(H101="Yes","❌ Disc",IF(G101="No","⚠ Missing",IF(J101="Yes","✓ OK","⚠ Check"))))</f>
        <v>✓ OK</v>
      </c>
      <c r="N101" s="43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10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ref="AE101:AE132" si="15">IF(W101="","",IF(Z101="Yes","❌ Disc",IF(Y101="No","⚠ Missing",IF(AB101="Yes","✓ OK","⚠ Check"))))</f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ref="AN101:AN132" si="16"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ref="AW101:AW132" si="17">IF(AO101="","",IF(AR101="Yes","❌ Disc",IF(AQ101="No","⚠ Missing",IF(AT101="Yes","✓ OK","⚠ Check"))))</f>
        <v/>
      </c>
    </row>
    <row r="102" spans="1:49" ht="18" customHeight="1" x14ac:dyDescent="0.3">
      <c r="A102" s="39">
        <v>98</v>
      </c>
      <c r="B102" s="40" t="s">
        <v>1131</v>
      </c>
      <c r="C102" s="41" t="s">
        <v>1132</v>
      </c>
      <c r="D102" s="39" t="s">
        <v>1036</v>
      </c>
      <c r="E102" s="43">
        <v>46126</v>
      </c>
      <c r="F102" s="26" t="s">
        <v>55</v>
      </c>
      <c r="G102" s="26" t="s">
        <v>57</v>
      </c>
      <c r="H102" s="26" t="s">
        <v>57</v>
      </c>
      <c r="I102" s="26" t="s">
        <v>153</v>
      </c>
      <c r="J102" s="26" t="s">
        <v>57</v>
      </c>
      <c r="K102" s="27"/>
      <c r="L102" s="28" t="s">
        <v>56</v>
      </c>
      <c r="M102" s="29" t="str">
        <f t="shared" si="14"/>
        <v>⚠ Missing</v>
      </c>
      <c r="N102" s="43">
        <v>46193</v>
      </c>
      <c r="O102" s="26" t="s">
        <v>55</v>
      </c>
      <c r="P102" s="26" t="s">
        <v>57</v>
      </c>
      <c r="Q102" s="26" t="s">
        <v>57</v>
      </c>
      <c r="R102" s="26" t="s">
        <v>153</v>
      </c>
      <c r="S102" s="26" t="s">
        <v>57</v>
      </c>
      <c r="T102" s="27"/>
      <c r="U102" s="28" t="s">
        <v>56</v>
      </c>
      <c r="V102" s="29" t="str">
        <f t="shared" si="10"/>
        <v>⚠ Missing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15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8" customHeight="1" x14ac:dyDescent="0.3">
      <c r="A103" s="23">
        <v>99</v>
      </c>
      <c r="B103" s="24" t="s">
        <v>1133</v>
      </c>
      <c r="C103" s="25" t="s">
        <v>1134</v>
      </c>
      <c r="D103" s="23" t="s">
        <v>1036</v>
      </c>
      <c r="E103" s="43">
        <v>46126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4"/>
        <v>✓ OK</v>
      </c>
      <c r="N103" s="43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0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15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8" customHeight="1" x14ac:dyDescent="0.3">
      <c r="A104" s="39">
        <v>100</v>
      </c>
      <c r="B104" s="40" t="s">
        <v>1135</v>
      </c>
      <c r="C104" s="41" t="s">
        <v>1136</v>
      </c>
      <c r="D104" s="39" t="s">
        <v>1036</v>
      </c>
      <c r="E104" s="43">
        <v>46126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4"/>
        <v>✓ OK</v>
      </c>
      <c r="N104" s="43">
        <v>46193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0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15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8" customHeight="1" x14ac:dyDescent="0.3">
      <c r="A105" s="23">
        <v>101</v>
      </c>
      <c r="B105" s="24" t="s">
        <v>1137</v>
      </c>
      <c r="C105" s="25" t="s">
        <v>1138</v>
      </c>
      <c r="D105" s="23" t="s">
        <v>1036</v>
      </c>
      <c r="E105" s="43">
        <v>46126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4"/>
        <v>✓ OK</v>
      </c>
      <c r="N105" s="43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0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15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8" customHeight="1" x14ac:dyDescent="0.3">
      <c r="A106" s="39">
        <v>102</v>
      </c>
      <c r="B106" s="40" t="s">
        <v>1139</v>
      </c>
      <c r="C106" s="41" t="s">
        <v>1140</v>
      </c>
      <c r="D106" s="39" t="s">
        <v>1036</v>
      </c>
      <c r="E106" s="43">
        <v>46126</v>
      </c>
      <c r="F106" s="26" t="s">
        <v>55</v>
      </c>
      <c r="G106" s="26" t="s">
        <v>57</v>
      </c>
      <c r="H106" s="26" t="s">
        <v>57</v>
      </c>
      <c r="I106" s="26" t="s">
        <v>153</v>
      </c>
      <c r="J106" s="26" t="s">
        <v>57</v>
      </c>
      <c r="K106" s="27"/>
      <c r="L106" s="28" t="s">
        <v>56</v>
      </c>
      <c r="M106" s="29" t="str">
        <f t="shared" si="14"/>
        <v>⚠ Missing</v>
      </c>
      <c r="N106" s="43">
        <v>46193</v>
      </c>
      <c r="O106" s="26" t="s">
        <v>55</v>
      </c>
      <c r="P106" s="26" t="s">
        <v>57</v>
      </c>
      <c r="Q106" s="26" t="s">
        <v>57</v>
      </c>
      <c r="R106" s="26" t="s">
        <v>153</v>
      </c>
      <c r="S106" s="26" t="s">
        <v>57</v>
      </c>
      <c r="T106" s="27"/>
      <c r="U106" s="28" t="s">
        <v>56</v>
      </c>
      <c r="V106" s="29" t="str">
        <f t="shared" si="10"/>
        <v>⚠ Missing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15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8" customHeight="1" x14ac:dyDescent="0.3">
      <c r="A107" s="23">
        <v>103</v>
      </c>
      <c r="B107" s="24" t="s">
        <v>1141</v>
      </c>
      <c r="C107" s="25" t="s">
        <v>1142</v>
      </c>
      <c r="D107" s="23" t="s">
        <v>1036</v>
      </c>
      <c r="E107" s="43">
        <v>46126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4"/>
        <v>✓ OK</v>
      </c>
      <c r="N107" s="43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0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15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8" customHeight="1" x14ac:dyDescent="0.3">
      <c r="A108" s="39">
        <v>104</v>
      </c>
      <c r="B108" s="40" t="s">
        <v>1143</v>
      </c>
      <c r="C108" s="41" t="s">
        <v>1144</v>
      </c>
      <c r="D108" s="39" t="s">
        <v>1036</v>
      </c>
      <c r="E108" s="43">
        <v>46126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4"/>
        <v>✓ OK</v>
      </c>
      <c r="N108" s="43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0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15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8" customHeight="1" x14ac:dyDescent="0.3">
      <c r="A109" s="23">
        <v>105</v>
      </c>
      <c r="B109" s="24" t="s">
        <v>1145</v>
      </c>
      <c r="C109" s="25" t="s">
        <v>1146</v>
      </c>
      <c r="D109" s="23" t="s">
        <v>1036</v>
      </c>
      <c r="E109" s="43">
        <v>46126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4"/>
        <v>✓ OK</v>
      </c>
      <c r="N109" s="43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0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15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8" customHeight="1" x14ac:dyDescent="0.3">
      <c r="A110" s="39">
        <v>106</v>
      </c>
      <c r="B110" s="40" t="s">
        <v>1147</v>
      </c>
      <c r="C110" s="41" t="s">
        <v>1148</v>
      </c>
      <c r="D110" s="39" t="s">
        <v>1036</v>
      </c>
      <c r="E110" s="43">
        <v>46126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4"/>
        <v>✓ OK</v>
      </c>
      <c r="N110" s="43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0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15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8" customHeight="1" x14ac:dyDescent="0.3">
      <c r="A111" s="23">
        <v>107</v>
      </c>
      <c r="B111" s="24" t="s">
        <v>1149</v>
      </c>
      <c r="C111" s="25" t="s">
        <v>1150</v>
      </c>
      <c r="D111" s="23" t="s">
        <v>1036</v>
      </c>
      <c r="E111" s="43">
        <v>46126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4"/>
        <v>✓ OK</v>
      </c>
      <c r="N111" s="43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0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15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8" customHeight="1" x14ac:dyDescent="0.3">
      <c r="A112" s="39">
        <v>108</v>
      </c>
      <c r="B112" s="40" t="s">
        <v>1151</v>
      </c>
      <c r="C112" s="41" t="s">
        <v>1152</v>
      </c>
      <c r="D112" s="39" t="s">
        <v>1036</v>
      </c>
      <c r="E112" s="43">
        <v>46126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4"/>
        <v>✓ OK</v>
      </c>
      <c r="N112" s="43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0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15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8" customHeight="1" x14ac:dyDescent="0.3">
      <c r="A113" s="23">
        <v>109</v>
      </c>
      <c r="B113" s="24" t="s">
        <v>1153</v>
      </c>
      <c r="C113" s="25" t="s">
        <v>1154</v>
      </c>
      <c r="D113" s="23" t="s">
        <v>1036</v>
      </c>
      <c r="E113" s="43">
        <v>46126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4"/>
        <v>✓ OK</v>
      </c>
      <c r="N113" s="43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0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15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8" customHeight="1" x14ac:dyDescent="0.3">
      <c r="A114" s="39">
        <v>110</v>
      </c>
      <c r="B114" s="40" t="s">
        <v>1155</v>
      </c>
      <c r="C114" s="41" t="s">
        <v>1156</v>
      </c>
      <c r="D114" s="39" t="s">
        <v>1036</v>
      </c>
      <c r="E114" s="43">
        <v>46126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4"/>
        <v>✓ OK</v>
      </c>
      <c r="N114" s="43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0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15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8" customHeight="1" x14ac:dyDescent="0.3">
      <c r="A115" s="23">
        <v>111</v>
      </c>
      <c r="B115" s="24" t="s">
        <v>1157</v>
      </c>
      <c r="C115" s="25" t="s">
        <v>1158</v>
      </c>
      <c r="D115" s="23" t="s">
        <v>1036</v>
      </c>
      <c r="E115" s="43">
        <v>46126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4"/>
        <v>✓ OK</v>
      </c>
      <c r="N115" s="43">
        <v>46193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0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15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8" customHeight="1" x14ac:dyDescent="0.3">
      <c r="A116" s="39">
        <v>112</v>
      </c>
      <c r="B116" s="40" t="s">
        <v>1159</v>
      </c>
      <c r="C116" s="41" t="s">
        <v>1160</v>
      </c>
      <c r="D116" s="39" t="s">
        <v>1036</v>
      </c>
      <c r="E116" s="43">
        <v>46126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4"/>
        <v>✓ OK</v>
      </c>
      <c r="N116" s="43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0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15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8" customHeight="1" x14ac:dyDescent="0.3">
      <c r="A117" s="23">
        <v>113</v>
      </c>
      <c r="B117" s="24" t="s">
        <v>1161</v>
      </c>
      <c r="C117" s="25" t="s">
        <v>1162</v>
      </c>
      <c r="D117" s="23" t="s">
        <v>1036</v>
      </c>
      <c r="E117" s="43">
        <v>46126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4"/>
        <v>✓ OK</v>
      </c>
      <c r="N117" s="43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0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15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8" customHeight="1" x14ac:dyDescent="0.3">
      <c r="A118" s="39">
        <v>114</v>
      </c>
      <c r="B118" s="40" t="s">
        <v>1163</v>
      </c>
      <c r="C118" s="41" t="s">
        <v>1164</v>
      </c>
      <c r="D118" s="39" t="s">
        <v>1036</v>
      </c>
      <c r="E118" s="43">
        <v>46126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4"/>
        <v>✓ OK</v>
      </c>
      <c r="N118" s="43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10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15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8" customHeight="1" x14ac:dyDescent="0.3">
      <c r="A119" s="23">
        <v>115</v>
      </c>
      <c r="B119" s="24" t="s">
        <v>1165</v>
      </c>
      <c r="C119" s="25" t="s">
        <v>1166</v>
      </c>
      <c r="D119" s="23" t="s">
        <v>1036</v>
      </c>
      <c r="E119" s="43">
        <v>46126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4"/>
        <v>✓ OK</v>
      </c>
      <c r="N119" s="43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10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15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8" customHeight="1" x14ac:dyDescent="0.3">
      <c r="A120" s="39">
        <v>116</v>
      </c>
      <c r="B120" s="40" t="s">
        <v>1167</v>
      </c>
      <c r="C120" s="41" t="s">
        <v>1168</v>
      </c>
      <c r="D120" s="39" t="s">
        <v>1036</v>
      </c>
      <c r="E120" s="43">
        <v>46126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4"/>
        <v>✓ OK</v>
      </c>
      <c r="N120" s="43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10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15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8" customHeight="1" x14ac:dyDescent="0.3">
      <c r="A121" s="23">
        <v>117</v>
      </c>
      <c r="B121" s="24" t="s">
        <v>1169</v>
      </c>
      <c r="C121" s="25" t="s">
        <v>1170</v>
      </c>
      <c r="D121" s="23" t="s">
        <v>1036</v>
      </c>
      <c r="E121" s="43">
        <v>46126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4"/>
        <v>✓ OK</v>
      </c>
      <c r="N121" s="43">
        <v>46193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10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15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8" customHeight="1" x14ac:dyDescent="0.3">
      <c r="A122" s="39">
        <v>118</v>
      </c>
      <c r="B122" s="40" t="s">
        <v>1171</v>
      </c>
      <c r="C122" s="41" t="s">
        <v>1172</v>
      </c>
      <c r="D122" s="39" t="s">
        <v>1036</v>
      </c>
      <c r="E122" s="43">
        <v>46126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4"/>
        <v>✓ OK</v>
      </c>
      <c r="N122" s="43">
        <v>46193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10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15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8" customHeight="1" x14ac:dyDescent="0.3">
      <c r="A123" s="23">
        <v>119</v>
      </c>
      <c r="B123" s="24" t="s">
        <v>1173</v>
      </c>
      <c r="C123" s="25" t="s">
        <v>1174</v>
      </c>
      <c r="D123" s="23" t="s">
        <v>1036</v>
      </c>
      <c r="E123" s="43">
        <v>46126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4"/>
        <v>✓ OK</v>
      </c>
      <c r="N123" s="43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10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15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8" customHeight="1" x14ac:dyDescent="0.3">
      <c r="A124" s="39">
        <v>120</v>
      </c>
      <c r="B124" s="40" t="s">
        <v>1175</v>
      </c>
      <c r="C124" s="41" t="s">
        <v>1176</v>
      </c>
      <c r="D124" s="39" t="s">
        <v>1036</v>
      </c>
      <c r="E124" s="43">
        <v>46126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4"/>
        <v>✓ OK</v>
      </c>
      <c r="N124" s="43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10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15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8" customHeight="1" x14ac:dyDescent="0.3">
      <c r="A125" s="23">
        <v>121</v>
      </c>
      <c r="B125" s="24" t="s">
        <v>1177</v>
      </c>
      <c r="C125" s="25" t="s">
        <v>1178</v>
      </c>
      <c r="D125" s="23" t="s">
        <v>1036</v>
      </c>
      <c r="E125" s="43">
        <v>46126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4"/>
        <v>✓ OK</v>
      </c>
      <c r="N125" s="43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10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15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8" customHeight="1" x14ac:dyDescent="0.3">
      <c r="A126" s="39">
        <v>122</v>
      </c>
      <c r="B126" s="40" t="s">
        <v>1179</v>
      </c>
      <c r="C126" s="41" t="s">
        <v>1180</v>
      </c>
      <c r="D126" s="39" t="s">
        <v>1036</v>
      </c>
      <c r="E126" s="43">
        <v>46126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4"/>
        <v>✓ OK</v>
      </c>
      <c r="N126" s="43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10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5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8" customHeight="1" x14ac:dyDescent="0.3">
      <c r="A127" s="23">
        <v>123</v>
      </c>
      <c r="B127" s="24" t="s">
        <v>1181</v>
      </c>
      <c r="C127" s="25" t="s">
        <v>1182</v>
      </c>
      <c r="D127" s="23" t="s">
        <v>1036</v>
      </c>
      <c r="E127" s="43">
        <v>46126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4"/>
        <v>✓ OK</v>
      </c>
      <c r="N127" s="43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10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5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6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7"/>
        <v/>
      </c>
    </row>
    <row r="128" spans="1:49" ht="18" customHeight="1" x14ac:dyDescent="0.3">
      <c r="A128" s="39">
        <v>124</v>
      </c>
      <c r="B128" s="40" t="s">
        <v>1183</v>
      </c>
      <c r="C128" s="41" t="s">
        <v>1184</v>
      </c>
      <c r="D128" s="39" t="s">
        <v>1036</v>
      </c>
      <c r="E128" s="43">
        <v>46126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4"/>
        <v>✓ OK</v>
      </c>
      <c r="N128" s="43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10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5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6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7"/>
        <v/>
      </c>
    </row>
    <row r="129" spans="1:49" ht="18" customHeight="1" x14ac:dyDescent="0.3">
      <c r="A129" s="23">
        <v>125</v>
      </c>
      <c r="B129" s="24" t="s">
        <v>1185</v>
      </c>
      <c r="C129" s="25" t="s">
        <v>1186</v>
      </c>
      <c r="D129" s="23" t="s">
        <v>1036</v>
      </c>
      <c r="E129" s="43">
        <v>46126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4"/>
        <v>✓ OK</v>
      </c>
      <c r="N129" s="43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10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5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6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7"/>
        <v/>
      </c>
    </row>
    <row r="130" spans="1:49" ht="18" customHeight="1" x14ac:dyDescent="0.3">
      <c r="A130" s="39">
        <v>126</v>
      </c>
      <c r="B130" s="40" t="s">
        <v>1187</v>
      </c>
      <c r="C130" s="41" t="s">
        <v>1188</v>
      </c>
      <c r="D130" s="39" t="s">
        <v>1036</v>
      </c>
      <c r="E130" s="43">
        <v>46126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4"/>
        <v>✓ OK</v>
      </c>
      <c r="N130" s="43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10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5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6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7"/>
        <v/>
      </c>
    </row>
    <row r="131" spans="1:49" ht="18" customHeight="1" x14ac:dyDescent="0.3">
      <c r="A131" s="23">
        <v>127</v>
      </c>
      <c r="B131" s="24" t="s">
        <v>1189</v>
      </c>
      <c r="C131" s="25" t="s">
        <v>1190</v>
      </c>
      <c r="D131" s="23" t="s">
        <v>1036</v>
      </c>
      <c r="E131" s="43">
        <v>46126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4"/>
        <v>✓ OK</v>
      </c>
      <c r="N131" s="43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10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5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6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7"/>
        <v/>
      </c>
    </row>
    <row r="132" spans="1:49" ht="18" customHeight="1" x14ac:dyDescent="0.3">
      <c r="A132" s="39">
        <v>128</v>
      </c>
      <c r="B132" s="40" t="s">
        <v>1191</v>
      </c>
      <c r="C132" s="41" t="s">
        <v>1192</v>
      </c>
      <c r="D132" s="39" t="s">
        <v>1036</v>
      </c>
      <c r="E132" s="43">
        <v>46126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4"/>
        <v>✓ OK</v>
      </c>
      <c r="N132" s="43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10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5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6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7"/>
        <v/>
      </c>
    </row>
    <row r="133" spans="1:49" ht="18" customHeight="1" x14ac:dyDescent="0.3">
      <c r="A133" s="23">
        <v>129</v>
      </c>
      <c r="B133" s="24" t="s">
        <v>1193</v>
      </c>
      <c r="C133" s="25" t="s">
        <v>1194</v>
      </c>
      <c r="D133" s="23" t="s">
        <v>1036</v>
      </c>
      <c r="E133" s="43">
        <v>46126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18">IF(E133="","",IF(H133="Yes","❌ Disc",IF(G133="No","⚠ Missing",IF(J133="Yes","✓ OK","⚠ Check"))))</f>
        <v>✓ OK</v>
      </c>
      <c r="N133" s="43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19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68" si="20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68" si="21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68" si="22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1195</v>
      </c>
      <c r="C134" s="41" t="s">
        <v>1196</v>
      </c>
      <c r="D134" s="39" t="s">
        <v>1036</v>
      </c>
      <c r="E134" s="43">
        <v>46126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8"/>
        <v>✓ OK</v>
      </c>
      <c r="N134" s="43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9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20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8" customHeight="1" x14ac:dyDescent="0.3">
      <c r="A135" s="23">
        <v>131</v>
      </c>
      <c r="B135" s="24" t="s">
        <v>1197</v>
      </c>
      <c r="C135" s="25" t="s">
        <v>1198</v>
      </c>
      <c r="D135" s="23" t="s">
        <v>1036</v>
      </c>
      <c r="E135" s="43">
        <v>46126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8"/>
        <v>✓ OK</v>
      </c>
      <c r="N135" s="43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9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20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8" customHeight="1" x14ac:dyDescent="0.3">
      <c r="A136" s="39">
        <v>132</v>
      </c>
      <c r="B136" s="40" t="s">
        <v>1199</v>
      </c>
      <c r="C136" s="41" t="s">
        <v>1200</v>
      </c>
      <c r="D136" s="39" t="s">
        <v>1036</v>
      </c>
      <c r="E136" s="43">
        <v>46126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8"/>
        <v>✓ OK</v>
      </c>
      <c r="N136" s="43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9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20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8" customHeight="1" x14ac:dyDescent="0.3">
      <c r="A137" s="23">
        <v>133</v>
      </c>
      <c r="B137" s="24" t="s">
        <v>1201</v>
      </c>
      <c r="C137" s="25" t="s">
        <v>1202</v>
      </c>
      <c r="D137" s="23" t="s">
        <v>1036</v>
      </c>
      <c r="E137" s="43">
        <v>46126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8"/>
        <v>✓ OK</v>
      </c>
      <c r="N137" s="43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9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20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8" customHeight="1" x14ac:dyDescent="0.3">
      <c r="A138" s="39">
        <v>134</v>
      </c>
      <c r="B138" s="40" t="s">
        <v>1203</v>
      </c>
      <c r="C138" s="41" t="s">
        <v>1204</v>
      </c>
      <c r="D138" s="39" t="s">
        <v>1036</v>
      </c>
      <c r="E138" s="43">
        <v>46126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8"/>
        <v>✓ OK</v>
      </c>
      <c r="N138" s="43">
        <v>46193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9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20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8" customHeight="1" x14ac:dyDescent="0.3">
      <c r="A139" s="23">
        <v>135</v>
      </c>
      <c r="B139" s="24" t="s">
        <v>1205</v>
      </c>
      <c r="C139" s="25" t="s">
        <v>1206</v>
      </c>
      <c r="D139" s="23" t="s">
        <v>1036</v>
      </c>
      <c r="E139" s="43">
        <v>46126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8"/>
        <v>✓ OK</v>
      </c>
      <c r="N139" s="43">
        <v>46193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9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20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8" customHeight="1" x14ac:dyDescent="0.3">
      <c r="A140" s="39">
        <v>136</v>
      </c>
      <c r="B140" s="40" t="s">
        <v>1207</v>
      </c>
      <c r="C140" s="41" t="s">
        <v>1208</v>
      </c>
      <c r="D140" s="39" t="s">
        <v>1036</v>
      </c>
      <c r="E140" s="43">
        <v>46126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8"/>
        <v>✓ OK</v>
      </c>
      <c r="N140" s="43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9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20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8" customHeight="1" x14ac:dyDescent="0.3">
      <c r="A141" s="23">
        <v>137</v>
      </c>
      <c r="B141" s="24" t="s">
        <v>1209</v>
      </c>
      <c r="C141" s="25" t="s">
        <v>1210</v>
      </c>
      <c r="D141" s="23" t="s">
        <v>1036</v>
      </c>
      <c r="E141" s="43">
        <v>46126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8"/>
        <v>✓ OK</v>
      </c>
      <c r="N141" s="43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9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20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8" customHeight="1" x14ac:dyDescent="0.3">
      <c r="A142" s="39">
        <v>138</v>
      </c>
      <c r="B142" s="40" t="s">
        <v>1211</v>
      </c>
      <c r="C142" s="41" t="s">
        <v>1212</v>
      </c>
      <c r="D142" s="39" t="s">
        <v>1036</v>
      </c>
      <c r="E142" s="43">
        <v>46126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8"/>
        <v>✓ OK</v>
      </c>
      <c r="N142" s="43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9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20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8" customHeight="1" x14ac:dyDescent="0.3">
      <c r="A143" s="23">
        <v>139</v>
      </c>
      <c r="B143" s="24" t="s">
        <v>1213</v>
      </c>
      <c r="C143" s="25" t="s">
        <v>1214</v>
      </c>
      <c r="D143" s="23" t="s">
        <v>1036</v>
      </c>
      <c r="E143" s="43">
        <v>46126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8"/>
        <v>✓ OK</v>
      </c>
      <c r="N143" s="43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9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20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8" customHeight="1" x14ac:dyDescent="0.3">
      <c r="A144" s="39">
        <v>140</v>
      </c>
      <c r="B144" s="40" t="s">
        <v>1215</v>
      </c>
      <c r="C144" s="41" t="s">
        <v>1216</v>
      </c>
      <c r="D144" s="39" t="s">
        <v>1036</v>
      </c>
      <c r="E144" s="43">
        <v>46126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8"/>
        <v>✓ OK</v>
      </c>
      <c r="N144" s="43">
        <v>46193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9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20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8" customHeight="1" x14ac:dyDescent="0.3">
      <c r="A145" s="23">
        <v>141</v>
      </c>
      <c r="B145" s="24" t="s">
        <v>1217</v>
      </c>
      <c r="C145" s="25" t="s">
        <v>1218</v>
      </c>
      <c r="D145" s="23" t="s">
        <v>1036</v>
      </c>
      <c r="E145" s="43">
        <v>46126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8"/>
        <v>✓ OK</v>
      </c>
      <c r="N145" s="43">
        <v>46193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9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20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8" customHeight="1" x14ac:dyDescent="0.3">
      <c r="A146" s="39">
        <v>142</v>
      </c>
      <c r="B146" s="40" t="s">
        <v>1219</v>
      </c>
      <c r="C146" s="41" t="s">
        <v>1220</v>
      </c>
      <c r="D146" s="39" t="s">
        <v>1036</v>
      </c>
      <c r="E146" s="43">
        <v>46126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8"/>
        <v>✓ OK</v>
      </c>
      <c r="N146" s="43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9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20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8" customHeight="1" x14ac:dyDescent="0.3">
      <c r="A147" s="23">
        <v>143</v>
      </c>
      <c r="B147" s="24" t="s">
        <v>1221</v>
      </c>
      <c r="C147" s="25" t="s">
        <v>1222</v>
      </c>
      <c r="D147" s="23" t="s">
        <v>1036</v>
      </c>
      <c r="E147" s="43">
        <v>46126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8"/>
        <v>✓ OK</v>
      </c>
      <c r="N147" s="43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9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20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8" customHeight="1" x14ac:dyDescent="0.3">
      <c r="A148" s="39">
        <v>144</v>
      </c>
      <c r="B148" s="40" t="s">
        <v>1223</v>
      </c>
      <c r="C148" s="41" t="s">
        <v>1224</v>
      </c>
      <c r="D148" s="39" t="s">
        <v>1036</v>
      </c>
      <c r="E148" s="43">
        <v>46126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8"/>
        <v>✓ OK</v>
      </c>
      <c r="N148" s="43">
        <v>46193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9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20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8" customHeight="1" x14ac:dyDescent="0.3">
      <c r="A149" s="23">
        <v>145</v>
      </c>
      <c r="B149" s="24" t="s">
        <v>1225</v>
      </c>
      <c r="C149" s="25" t="s">
        <v>1226</v>
      </c>
      <c r="D149" s="23" t="s">
        <v>1036</v>
      </c>
      <c r="E149" s="43">
        <v>46126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8"/>
        <v>✓ OK</v>
      </c>
      <c r="N149" s="43">
        <v>46193</v>
      </c>
      <c r="O149" s="26" t="s">
        <v>55</v>
      </c>
      <c r="P149" s="26" t="s">
        <v>57</v>
      </c>
      <c r="Q149" s="26" t="s">
        <v>56</v>
      </c>
      <c r="R149" s="26" t="s">
        <v>6225</v>
      </c>
      <c r="S149" s="26" t="s">
        <v>57</v>
      </c>
      <c r="T149" s="27"/>
      <c r="U149" s="28" t="s">
        <v>57</v>
      </c>
      <c r="V149" s="29" t="str">
        <f t="shared" si="19"/>
        <v>❌ Disc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20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8" customHeight="1" x14ac:dyDescent="0.3">
      <c r="A150" s="39">
        <v>146</v>
      </c>
      <c r="B150" s="40" t="s">
        <v>1227</v>
      </c>
      <c r="C150" s="41" t="s">
        <v>1228</v>
      </c>
      <c r="D150" s="39" t="s">
        <v>1036</v>
      </c>
      <c r="E150" s="43">
        <v>46126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8"/>
        <v>✓ OK</v>
      </c>
      <c r="N150" s="43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9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20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8" customHeight="1" x14ac:dyDescent="0.3">
      <c r="A151" s="23">
        <v>147</v>
      </c>
      <c r="B151" s="24" t="s">
        <v>1229</v>
      </c>
      <c r="C151" s="25" t="s">
        <v>1230</v>
      </c>
      <c r="D151" s="23" t="s">
        <v>1036</v>
      </c>
      <c r="E151" s="43">
        <v>46126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8"/>
        <v>✓ OK</v>
      </c>
      <c r="N151" s="43">
        <v>46193</v>
      </c>
      <c r="O151" s="26" t="s">
        <v>55</v>
      </c>
      <c r="P151" s="26" t="s">
        <v>57</v>
      </c>
      <c r="Q151" s="26" t="s">
        <v>56</v>
      </c>
      <c r="R151" s="26" t="s">
        <v>6225</v>
      </c>
      <c r="S151" s="26" t="s">
        <v>57</v>
      </c>
      <c r="T151" s="27"/>
      <c r="U151" s="28" t="s">
        <v>57</v>
      </c>
      <c r="V151" s="29" t="str">
        <f t="shared" si="19"/>
        <v>❌ Disc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20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8" customHeight="1" x14ac:dyDescent="0.3">
      <c r="A152" s="39">
        <v>148</v>
      </c>
      <c r="B152" s="40" t="s">
        <v>1231</v>
      </c>
      <c r="C152" s="41" t="s">
        <v>1232</v>
      </c>
      <c r="D152" s="39" t="s">
        <v>1036</v>
      </c>
      <c r="E152" s="43">
        <v>46126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8"/>
        <v>✓ OK</v>
      </c>
      <c r="N152" s="43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9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20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8" customHeight="1" x14ac:dyDescent="0.3">
      <c r="A153" s="23">
        <v>149</v>
      </c>
      <c r="B153" s="24" t="s">
        <v>1233</v>
      </c>
      <c r="C153" s="25" t="s">
        <v>1234</v>
      </c>
      <c r="D153" s="23" t="s">
        <v>1036</v>
      </c>
      <c r="E153" s="43">
        <v>46126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8"/>
        <v>✓ OK</v>
      </c>
      <c r="N153" s="43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9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20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8" customHeight="1" x14ac:dyDescent="0.3">
      <c r="A154" s="39">
        <v>150</v>
      </c>
      <c r="B154" s="40" t="s">
        <v>1235</v>
      </c>
      <c r="C154" s="41" t="s">
        <v>1236</v>
      </c>
      <c r="D154" s="39" t="s">
        <v>1036</v>
      </c>
      <c r="E154" s="43">
        <v>46126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8"/>
        <v>✓ OK</v>
      </c>
      <c r="N154" s="43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9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20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8" customHeight="1" x14ac:dyDescent="0.3">
      <c r="A155" s="23">
        <v>151</v>
      </c>
      <c r="B155" s="24" t="s">
        <v>1237</v>
      </c>
      <c r="C155" s="25" t="s">
        <v>1238</v>
      </c>
      <c r="D155" s="23" t="s">
        <v>1036</v>
      </c>
      <c r="E155" s="43">
        <v>46126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8"/>
        <v>✓ OK</v>
      </c>
      <c r="N155" s="43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9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20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8" customHeight="1" x14ac:dyDescent="0.3">
      <c r="A156" s="39">
        <v>152</v>
      </c>
      <c r="B156" s="40" t="s">
        <v>1239</v>
      </c>
      <c r="C156" s="41" t="s">
        <v>1240</v>
      </c>
      <c r="D156" s="39" t="s">
        <v>1036</v>
      </c>
      <c r="E156" s="43">
        <v>46126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8"/>
        <v>✓ OK</v>
      </c>
      <c r="N156" s="43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9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20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8" customHeight="1" x14ac:dyDescent="0.3">
      <c r="A157" s="23">
        <v>153</v>
      </c>
      <c r="B157" s="24" t="s">
        <v>1241</v>
      </c>
      <c r="C157" s="25" t="s">
        <v>1242</v>
      </c>
      <c r="D157" s="23" t="s">
        <v>1036</v>
      </c>
      <c r="E157" s="43">
        <v>46126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8"/>
        <v>✓ OK</v>
      </c>
      <c r="N157" s="43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9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20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8" customHeight="1" x14ac:dyDescent="0.3">
      <c r="A158" s="39">
        <v>154</v>
      </c>
      <c r="B158" s="40" t="s">
        <v>1243</v>
      </c>
      <c r="C158" s="41" t="s">
        <v>1244</v>
      </c>
      <c r="D158" s="39" t="s">
        <v>1036</v>
      </c>
      <c r="E158" s="43">
        <v>46126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8"/>
        <v>✓ OK</v>
      </c>
      <c r="N158" s="43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9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20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8" customHeight="1" x14ac:dyDescent="0.3">
      <c r="A159" s="23">
        <v>155</v>
      </c>
      <c r="B159" s="24" t="s">
        <v>1245</v>
      </c>
      <c r="C159" s="25" t="s">
        <v>1246</v>
      </c>
      <c r="D159" s="23" t="s">
        <v>1036</v>
      </c>
      <c r="E159" s="43">
        <v>46126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8"/>
        <v>✓ OK</v>
      </c>
      <c r="N159" s="43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9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20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21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22"/>
        <v/>
      </c>
    </row>
    <row r="160" spans="1:49" ht="18" customHeight="1" x14ac:dyDescent="0.3">
      <c r="A160" s="39">
        <v>156</v>
      </c>
      <c r="B160" s="40" t="s">
        <v>1247</v>
      </c>
      <c r="C160" s="41" t="s">
        <v>1248</v>
      </c>
      <c r="D160" s="39" t="s">
        <v>1036</v>
      </c>
      <c r="E160" s="43">
        <v>46126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8"/>
        <v>✓ OK</v>
      </c>
      <c r="N160" s="43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9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20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1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2"/>
        <v/>
      </c>
    </row>
    <row r="161" spans="1:49" ht="18" customHeight="1" x14ac:dyDescent="0.3">
      <c r="A161" s="23">
        <v>157</v>
      </c>
      <c r="B161" s="24" t="s">
        <v>1249</v>
      </c>
      <c r="C161" s="25" t="s">
        <v>1250</v>
      </c>
      <c r="D161" s="23" t="s">
        <v>1036</v>
      </c>
      <c r="E161" s="43">
        <v>46126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8"/>
        <v>✓ OK</v>
      </c>
      <c r="N161" s="43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9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20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1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2"/>
        <v/>
      </c>
    </row>
    <row r="162" spans="1:49" ht="18" customHeight="1" x14ac:dyDescent="0.3">
      <c r="A162" s="39">
        <v>158</v>
      </c>
      <c r="B162" s="40" t="s">
        <v>1251</v>
      </c>
      <c r="C162" s="41" t="s">
        <v>1252</v>
      </c>
      <c r="D162" s="39" t="s">
        <v>1036</v>
      </c>
      <c r="E162" s="43">
        <v>46126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8"/>
        <v>✓ OK</v>
      </c>
      <c r="N162" s="43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9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20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1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2"/>
        <v/>
      </c>
    </row>
    <row r="163" spans="1:49" ht="18" customHeight="1" x14ac:dyDescent="0.3">
      <c r="A163" s="23">
        <v>159</v>
      </c>
      <c r="B163" s="24" t="s">
        <v>1253</v>
      </c>
      <c r="C163" s="25" t="s">
        <v>1254</v>
      </c>
      <c r="D163" s="23" t="s">
        <v>1036</v>
      </c>
      <c r="E163" s="43">
        <v>46126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8"/>
        <v>✓ OK</v>
      </c>
      <c r="N163" s="43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9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20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1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2"/>
        <v/>
      </c>
    </row>
    <row r="164" spans="1:49" ht="18" customHeight="1" x14ac:dyDescent="0.3">
      <c r="A164" s="39">
        <v>160</v>
      </c>
      <c r="B164" s="40" t="s">
        <v>1255</v>
      </c>
      <c r="C164" s="41" t="s">
        <v>1256</v>
      </c>
      <c r="D164" s="39" t="s">
        <v>1036</v>
      </c>
      <c r="E164" s="43">
        <v>46126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8"/>
        <v>✓ OK</v>
      </c>
      <c r="N164" s="43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9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20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1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2"/>
        <v/>
      </c>
    </row>
    <row r="165" spans="1:49" ht="18" customHeight="1" x14ac:dyDescent="0.3">
      <c r="A165" s="23">
        <v>161</v>
      </c>
      <c r="B165" s="24" t="s">
        <v>1257</v>
      </c>
      <c r="C165" s="25" t="s">
        <v>1258</v>
      </c>
      <c r="D165" s="23" t="s">
        <v>1036</v>
      </c>
      <c r="E165" s="43">
        <v>46126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8"/>
        <v>✓ OK</v>
      </c>
      <c r="N165" s="43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9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20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1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2"/>
        <v/>
      </c>
    </row>
    <row r="166" spans="1:49" ht="18" customHeight="1" x14ac:dyDescent="0.3">
      <c r="A166" s="39">
        <v>162</v>
      </c>
      <c r="B166" s="40" t="s">
        <v>1259</v>
      </c>
      <c r="C166" s="41" t="s">
        <v>1260</v>
      </c>
      <c r="D166" s="39" t="s">
        <v>1036</v>
      </c>
      <c r="E166" s="43">
        <v>46126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8"/>
        <v>✓ OK</v>
      </c>
      <c r="N166" s="43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9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20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1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2"/>
        <v/>
      </c>
    </row>
    <row r="167" spans="1:49" ht="18" customHeight="1" x14ac:dyDescent="0.3">
      <c r="A167" s="23">
        <v>163</v>
      </c>
      <c r="B167" s="24" t="s">
        <v>1261</v>
      </c>
      <c r="C167" s="25" t="s">
        <v>1262</v>
      </c>
      <c r="D167" s="23" t="s">
        <v>1036</v>
      </c>
      <c r="E167" s="43">
        <v>46126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8"/>
        <v>✓ OK</v>
      </c>
      <c r="N167" s="43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9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20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1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2"/>
        <v/>
      </c>
    </row>
    <row r="168" spans="1:49" ht="18" customHeight="1" x14ac:dyDescent="0.3">
      <c r="A168" s="39">
        <v>164</v>
      </c>
      <c r="B168" s="40" t="s">
        <v>1263</v>
      </c>
      <c r="C168" s="41" t="s">
        <v>1264</v>
      </c>
      <c r="D168" s="39" t="s">
        <v>1036</v>
      </c>
      <c r="E168" s="43">
        <v>46126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8"/>
        <v>✓ OK</v>
      </c>
      <c r="N168" s="43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9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20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1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2"/>
        <v/>
      </c>
    </row>
  </sheetData>
  <autoFilter ref="A4:AW168" xr:uid="{00000000-0001-0000-04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168 O5:AW168">
    <cfRule type="expression" dxfId="573" priority="56">
      <formula>MOD(ROW(),2)=0</formula>
    </cfRule>
  </conditionalFormatting>
  <conditionalFormatting sqref="G5:G168">
    <cfRule type="expression" dxfId="572" priority="16">
      <formula>G5="No"</formula>
    </cfRule>
    <cfRule type="expression" dxfId="571" priority="15">
      <formula>G5="Yes"</formula>
    </cfRule>
  </conditionalFormatting>
  <conditionalFormatting sqref="H5:H168">
    <cfRule type="expression" dxfId="570" priority="17">
      <formula>H5="Yes"</formula>
    </cfRule>
  </conditionalFormatting>
  <conditionalFormatting sqref="J5:J168">
    <cfRule type="expression" dxfId="569" priority="18">
      <formula>J5="Yes"</formula>
    </cfRule>
    <cfRule type="expression" dxfId="568" priority="19">
      <formula>J5="No"</formula>
    </cfRule>
  </conditionalFormatting>
  <conditionalFormatting sqref="M5:M168">
    <cfRule type="expression" dxfId="567" priority="12">
      <formula>M5="❌ Disc"</formula>
    </cfRule>
    <cfRule type="expression" dxfId="566" priority="13">
      <formula>M5="⚠ Missing"</formula>
    </cfRule>
    <cfRule type="expression" dxfId="565" priority="14">
      <formula>M5="⚠ Check"</formula>
    </cfRule>
    <cfRule type="expression" dxfId="564" priority="11">
      <formula>M5="✓ OK"</formula>
    </cfRule>
  </conditionalFormatting>
  <conditionalFormatting sqref="P5:P168">
    <cfRule type="expression" dxfId="563" priority="24">
      <formula>P5="Yes"</formula>
    </cfRule>
    <cfRule type="expression" dxfId="562" priority="25">
      <formula>P5="No"</formula>
    </cfRule>
  </conditionalFormatting>
  <conditionalFormatting sqref="Q5:Q168">
    <cfRule type="expression" dxfId="561" priority="26">
      <formula>Q5="Yes"</formula>
    </cfRule>
  </conditionalFormatting>
  <conditionalFormatting sqref="S5:S168">
    <cfRule type="expression" dxfId="560" priority="27">
      <formula>S5="Yes"</formula>
    </cfRule>
    <cfRule type="expression" dxfId="559" priority="28">
      <formula>S5="No"</formula>
    </cfRule>
  </conditionalFormatting>
  <conditionalFormatting sqref="V5:V168">
    <cfRule type="expression" dxfId="558" priority="20">
      <formula>V5="✓ OK"</formula>
    </cfRule>
    <cfRule type="expression" dxfId="557" priority="21">
      <formula>V5="❌ Disc"</formula>
    </cfRule>
    <cfRule type="expression" dxfId="556" priority="22">
      <formula>V5="⚠ Missing"</formula>
    </cfRule>
    <cfRule type="expression" dxfId="555" priority="23">
      <formula>V5="⚠ Check"</formula>
    </cfRule>
  </conditionalFormatting>
  <conditionalFormatting sqref="Y5:Y168">
    <cfRule type="expression" dxfId="554" priority="34">
      <formula>Y5="No"</formula>
    </cfRule>
    <cfRule type="expression" dxfId="553" priority="33">
      <formula>Y5="Yes"</formula>
    </cfRule>
  </conditionalFormatting>
  <conditionalFormatting sqref="Z5:Z168">
    <cfRule type="expression" dxfId="552" priority="35">
      <formula>Z5="Yes"</formula>
    </cfRule>
  </conditionalFormatting>
  <conditionalFormatting sqref="AB5:AB168">
    <cfRule type="expression" dxfId="551" priority="36">
      <formula>AB5="Yes"</formula>
    </cfRule>
    <cfRule type="expression" dxfId="550" priority="37">
      <formula>AB5="No"</formula>
    </cfRule>
  </conditionalFormatting>
  <conditionalFormatting sqref="AE5:AE168">
    <cfRule type="expression" dxfId="549" priority="30">
      <formula>AE5="❌ Disc"</formula>
    </cfRule>
    <cfRule type="expression" dxfId="548" priority="31">
      <formula>AE5="⚠ Missing"</formula>
    </cfRule>
    <cfRule type="expression" dxfId="547" priority="32">
      <formula>AE5="⚠ Check"</formula>
    </cfRule>
    <cfRule type="expression" dxfId="546" priority="29">
      <formula>AE5="✓ OK"</formula>
    </cfRule>
  </conditionalFormatting>
  <conditionalFormatting sqref="AH5:AH168">
    <cfRule type="expression" dxfId="545" priority="42">
      <formula>AH5="Yes"</formula>
    </cfRule>
    <cfRule type="expression" dxfId="544" priority="43">
      <formula>AH5="No"</formula>
    </cfRule>
  </conditionalFormatting>
  <conditionalFormatting sqref="AI5:AI168">
    <cfRule type="expression" dxfId="543" priority="44">
      <formula>AI5="Yes"</formula>
    </cfRule>
  </conditionalFormatting>
  <conditionalFormatting sqref="AK5:AK168">
    <cfRule type="expression" dxfId="542" priority="45">
      <formula>AK5="Yes"</formula>
    </cfRule>
    <cfRule type="expression" dxfId="541" priority="46">
      <formula>AK5="No"</formula>
    </cfRule>
  </conditionalFormatting>
  <conditionalFormatting sqref="AN5:AN168">
    <cfRule type="expression" dxfId="540" priority="39">
      <formula>AN5="❌ Disc"</formula>
    </cfRule>
    <cfRule type="expression" dxfId="539" priority="40">
      <formula>AN5="⚠ Missing"</formula>
    </cfRule>
    <cfRule type="expression" dxfId="538" priority="41">
      <formula>AN5="⚠ Check"</formula>
    </cfRule>
    <cfRule type="expression" dxfId="537" priority="38">
      <formula>AN5="✓ OK"</formula>
    </cfRule>
  </conditionalFormatting>
  <conditionalFormatting sqref="AQ5:AQ168">
    <cfRule type="expression" dxfId="536" priority="52">
      <formula>AQ5="No"</formula>
    </cfRule>
    <cfRule type="expression" dxfId="535" priority="51">
      <formula>AQ5="Yes"</formula>
    </cfRule>
  </conditionalFormatting>
  <conditionalFormatting sqref="AR5:AR168">
    <cfRule type="expression" dxfId="534" priority="53">
      <formula>AR5="Yes"</formula>
    </cfRule>
  </conditionalFormatting>
  <conditionalFormatting sqref="AT5:AT168">
    <cfRule type="expression" dxfId="533" priority="54">
      <formula>AT5="Yes"</formula>
    </cfRule>
    <cfRule type="expression" dxfId="532" priority="55">
      <formula>AT5="No"</formula>
    </cfRule>
  </conditionalFormatting>
  <conditionalFormatting sqref="AW5:AW168">
    <cfRule type="expression" dxfId="531" priority="47">
      <formula>AW5="✓ OK"</formula>
    </cfRule>
    <cfRule type="expression" dxfId="530" priority="48">
      <formula>AW5="❌ Disc"</formula>
    </cfRule>
    <cfRule type="expression" dxfId="529" priority="49">
      <formula>AW5="⚠ Missing"</formula>
    </cfRule>
    <cfRule type="expression" dxfId="528" priority="50">
      <formula>AW5="⚠ Check"</formula>
    </cfRule>
  </conditionalFormatting>
  <conditionalFormatting sqref="P5:P168">
    <cfRule type="expression" dxfId="92" priority="6">
      <formula>P5="Yes"</formula>
    </cfRule>
    <cfRule type="expression" dxfId="93" priority="7">
      <formula>P5="No"</formula>
    </cfRule>
  </conditionalFormatting>
  <conditionalFormatting sqref="Q5:Q168">
    <cfRule type="expression" dxfId="91" priority="8">
      <formula>Q5="Yes"</formula>
    </cfRule>
  </conditionalFormatting>
  <conditionalFormatting sqref="S5:S168">
    <cfRule type="expression" dxfId="90" priority="9">
      <formula>S5="Yes"</formula>
    </cfRule>
    <cfRule type="expression" dxfId="89" priority="10">
      <formula>S5="No"</formula>
    </cfRule>
  </conditionalFormatting>
  <conditionalFormatting sqref="V5:V168">
    <cfRule type="expression" dxfId="85" priority="2">
      <formula>V5="✓ OK"</formula>
    </cfRule>
    <cfRule type="expression" dxfId="88" priority="3">
      <formula>V5="❌ Disc"</formula>
    </cfRule>
    <cfRule type="expression" dxfId="87" priority="4">
      <formula>V5="⚠ Missing"</formula>
    </cfRule>
    <cfRule type="expression" dxfId="86" priority="5">
      <formula>V5="⚠ Check"</formula>
    </cfRule>
  </conditionalFormatting>
  <conditionalFormatting sqref="N5:N168">
    <cfRule type="expression" dxfId="84" priority="1">
      <formula>MOD(ROW(),2)=0</formula>
    </cfRule>
  </conditionalFormatting>
  <dataValidations count="2">
    <dataValidation type="list" allowBlank="1" sqref="AT5:AT168 AQ5:AR168 AK5:AK168 AH5:AI168 AB5:AB168 Y5:Z168 G5:H168 J5:J168 P5:Q168 S5:S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L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1265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1266</v>
      </c>
      <c r="C5" s="25" t="s">
        <v>1267</v>
      </c>
      <c r="D5" s="23" t="s">
        <v>1268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3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1269</v>
      </c>
      <c r="C6" s="41" t="s">
        <v>1270</v>
      </c>
      <c r="D6" s="39" t="s">
        <v>1268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1271</v>
      </c>
      <c r="C7" s="25" t="s">
        <v>1272</v>
      </c>
      <c r="D7" s="23" t="s">
        <v>1268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1273</v>
      </c>
      <c r="C8" s="41" t="s">
        <v>1274</v>
      </c>
      <c r="D8" s="39" t="s">
        <v>1268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1275</v>
      </c>
      <c r="C9" s="25" t="s">
        <v>1276</v>
      </c>
      <c r="D9" s="23" t="s">
        <v>1268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1277</v>
      </c>
      <c r="C10" s="41" t="s">
        <v>1278</v>
      </c>
      <c r="D10" s="39" t="s">
        <v>1268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1279</v>
      </c>
      <c r="C11" s="25" t="s">
        <v>1280</v>
      </c>
      <c r="D11" s="23" t="s">
        <v>1268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1281</v>
      </c>
      <c r="C12" s="41" t="s">
        <v>1282</v>
      </c>
      <c r="D12" s="39" t="s">
        <v>1268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1283</v>
      </c>
      <c r="C13" s="25" t="s">
        <v>1284</v>
      </c>
      <c r="D13" s="23" t="s">
        <v>1268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1285</v>
      </c>
      <c r="C14" s="41" t="s">
        <v>1286</v>
      </c>
      <c r="D14" s="39" t="s">
        <v>1268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1287</v>
      </c>
      <c r="C15" s="25" t="s">
        <v>1288</v>
      </c>
      <c r="D15" s="23" t="s">
        <v>1268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1289</v>
      </c>
      <c r="C16" s="41" t="s">
        <v>1290</v>
      </c>
      <c r="D16" s="39" t="s">
        <v>1268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1291</v>
      </c>
      <c r="C17" s="25" t="s">
        <v>1292</v>
      </c>
      <c r="D17" s="23" t="s">
        <v>1268</v>
      </c>
      <c r="E17" s="43">
        <v>46125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1293</v>
      </c>
      <c r="C18" s="41" t="s">
        <v>1294</v>
      </c>
      <c r="D18" s="39" t="s">
        <v>1268</v>
      </c>
      <c r="E18" s="43">
        <v>46125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1295</v>
      </c>
      <c r="C19" s="25" t="s">
        <v>1296</v>
      </c>
      <c r="D19" s="23" t="s">
        <v>1268</v>
      </c>
      <c r="E19" s="43">
        <v>46125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1297</v>
      </c>
      <c r="C20" s="41" t="s">
        <v>1298</v>
      </c>
      <c r="D20" s="39" t="s">
        <v>1268</v>
      </c>
      <c r="E20" s="43">
        <v>46125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1299</v>
      </c>
      <c r="C21" s="25" t="s">
        <v>1300</v>
      </c>
      <c r="D21" s="23" t="s">
        <v>1268</v>
      </c>
      <c r="E21" s="43">
        <v>46125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1301</v>
      </c>
      <c r="C22" s="41" t="s">
        <v>1302</v>
      </c>
      <c r="D22" s="39" t="s">
        <v>1268</v>
      </c>
      <c r="E22" s="43">
        <v>46125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1303</v>
      </c>
      <c r="C23" s="25" t="s">
        <v>1304</v>
      </c>
      <c r="D23" s="23" t="s">
        <v>1268</v>
      </c>
      <c r="E23" s="43">
        <v>46125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1305</v>
      </c>
      <c r="C24" s="41" t="s">
        <v>1306</v>
      </c>
      <c r="D24" s="39" t="s">
        <v>1268</v>
      </c>
      <c r="E24" s="43">
        <v>46125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1307</v>
      </c>
      <c r="C25" s="25" t="s">
        <v>1308</v>
      </c>
      <c r="D25" s="23" t="s">
        <v>1268</v>
      </c>
      <c r="E25" s="43">
        <v>46125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1309</v>
      </c>
      <c r="C26" s="41" t="s">
        <v>1310</v>
      </c>
      <c r="D26" s="39" t="s">
        <v>1268</v>
      </c>
      <c r="E26" s="43">
        <v>46125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1311</v>
      </c>
      <c r="C27" s="25" t="s">
        <v>1312</v>
      </c>
      <c r="D27" s="23" t="s">
        <v>1268</v>
      </c>
      <c r="E27" s="43">
        <v>46125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1313</v>
      </c>
      <c r="C28" s="41" t="s">
        <v>1314</v>
      </c>
      <c r="D28" s="39" t="s">
        <v>1268</v>
      </c>
      <c r="E28" s="43">
        <v>46125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1315</v>
      </c>
      <c r="C29" s="25" t="s">
        <v>1316</v>
      </c>
      <c r="D29" s="23" t="s">
        <v>1268</v>
      </c>
      <c r="E29" s="43">
        <v>46125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1317</v>
      </c>
      <c r="C30" s="41" t="s">
        <v>1318</v>
      </c>
      <c r="D30" s="39" t="s">
        <v>1268</v>
      </c>
      <c r="E30" s="43">
        <v>46125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1319</v>
      </c>
      <c r="C31" s="25" t="s">
        <v>1320</v>
      </c>
      <c r="D31" s="23" t="s">
        <v>1268</v>
      </c>
      <c r="E31" s="43">
        <v>46125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1321</v>
      </c>
      <c r="C32" s="41" t="s">
        <v>1322</v>
      </c>
      <c r="D32" s="39" t="s">
        <v>1268</v>
      </c>
      <c r="E32" s="43">
        <v>46125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1323</v>
      </c>
      <c r="C33" s="25" t="s">
        <v>1324</v>
      </c>
      <c r="D33" s="23" t="s">
        <v>1268</v>
      </c>
      <c r="E33" s="43">
        <v>46125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1325</v>
      </c>
      <c r="C34" s="41" t="s">
        <v>1326</v>
      </c>
      <c r="D34" s="39" t="s">
        <v>1268</v>
      </c>
      <c r="E34" s="43">
        <v>46125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1327</v>
      </c>
      <c r="C35" s="25" t="s">
        <v>1328</v>
      </c>
      <c r="D35" s="23" t="s">
        <v>1268</v>
      </c>
      <c r="E35" s="43">
        <v>46125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1329</v>
      </c>
      <c r="C36" s="41" t="s">
        <v>1330</v>
      </c>
      <c r="D36" s="39" t="s">
        <v>1268</v>
      </c>
      <c r="E36" s="43">
        <v>46125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1331</v>
      </c>
      <c r="C37" s="25" t="s">
        <v>1332</v>
      </c>
      <c r="D37" s="23" t="s">
        <v>1268</v>
      </c>
      <c r="E37" s="43">
        <v>46125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3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1333</v>
      </c>
      <c r="C38" s="41" t="s">
        <v>1334</v>
      </c>
      <c r="D38" s="39" t="s">
        <v>1268</v>
      </c>
      <c r="E38" s="43">
        <v>46125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3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1335</v>
      </c>
      <c r="C39" s="25" t="s">
        <v>1336</v>
      </c>
      <c r="D39" s="23" t="s">
        <v>1268</v>
      </c>
      <c r="E39" s="43">
        <v>46125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3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1337</v>
      </c>
      <c r="C40" s="41" t="s">
        <v>1338</v>
      </c>
      <c r="D40" s="39" t="s">
        <v>1268</v>
      </c>
      <c r="E40" s="43">
        <v>46125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3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1339</v>
      </c>
      <c r="C41" s="25" t="s">
        <v>1340</v>
      </c>
      <c r="D41" s="23" t="s">
        <v>1268</v>
      </c>
      <c r="E41" s="43">
        <v>46125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3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1341</v>
      </c>
      <c r="C42" s="41" t="s">
        <v>1342</v>
      </c>
      <c r="D42" s="39" t="s">
        <v>1268</v>
      </c>
      <c r="E42" s="43">
        <v>46125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3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1343</v>
      </c>
      <c r="C43" s="25" t="s">
        <v>1344</v>
      </c>
      <c r="D43" s="23" t="s">
        <v>1268</v>
      </c>
      <c r="E43" s="43">
        <v>46125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3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1345</v>
      </c>
      <c r="C44" s="41" t="s">
        <v>1346</v>
      </c>
      <c r="D44" s="39" t="s">
        <v>1268</v>
      </c>
      <c r="E44" s="43">
        <v>46125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3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1347</v>
      </c>
      <c r="C45" s="25" t="s">
        <v>1348</v>
      </c>
      <c r="D45" s="23" t="s">
        <v>1268</v>
      </c>
      <c r="E45" s="43">
        <v>46125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3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1349</v>
      </c>
      <c r="C46" s="41" t="s">
        <v>1350</v>
      </c>
      <c r="D46" s="39" t="s">
        <v>1268</v>
      </c>
      <c r="E46" s="43">
        <v>46125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3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1351</v>
      </c>
      <c r="C47" s="25" t="s">
        <v>1352</v>
      </c>
      <c r="D47" s="23" t="s">
        <v>1268</v>
      </c>
      <c r="E47" s="43">
        <v>46125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3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1353</v>
      </c>
      <c r="C48" s="41" t="s">
        <v>1354</v>
      </c>
      <c r="D48" s="39" t="s">
        <v>1268</v>
      </c>
      <c r="E48" s="43">
        <v>46125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3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1355</v>
      </c>
      <c r="C49" s="25" t="s">
        <v>1356</v>
      </c>
      <c r="D49" s="23" t="s">
        <v>1268</v>
      </c>
      <c r="E49" s="43">
        <v>46125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3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1357</v>
      </c>
      <c r="C50" s="41" t="s">
        <v>1358</v>
      </c>
      <c r="D50" s="39" t="s">
        <v>1268</v>
      </c>
      <c r="E50" s="43">
        <v>46125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3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1359</v>
      </c>
      <c r="C51" s="25" t="s">
        <v>1360</v>
      </c>
      <c r="D51" s="23" t="s">
        <v>1268</v>
      </c>
      <c r="E51" s="43">
        <v>46125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3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1361</v>
      </c>
      <c r="C52" s="41" t="s">
        <v>1362</v>
      </c>
      <c r="D52" s="39" t="s">
        <v>1268</v>
      </c>
      <c r="E52" s="43">
        <v>46125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3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1363</v>
      </c>
      <c r="C53" s="25" t="s">
        <v>1364</v>
      </c>
      <c r="D53" s="23" t="s">
        <v>1268</v>
      </c>
      <c r="E53" s="43">
        <v>46125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3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1365</v>
      </c>
      <c r="C54" s="41" t="s">
        <v>1366</v>
      </c>
      <c r="D54" s="39" t="s">
        <v>1268</v>
      </c>
      <c r="E54" s="43">
        <v>46125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3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1367</v>
      </c>
      <c r="C55" s="25" t="s">
        <v>1368</v>
      </c>
      <c r="D55" s="23" t="s">
        <v>1268</v>
      </c>
      <c r="E55" s="43">
        <v>46125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3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1369</v>
      </c>
      <c r="C56" s="41" t="s">
        <v>1370</v>
      </c>
      <c r="D56" s="39" t="s">
        <v>1268</v>
      </c>
      <c r="E56" s="43">
        <v>46125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3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1371</v>
      </c>
      <c r="C57" s="25" t="s">
        <v>1372</v>
      </c>
      <c r="D57" s="23" t="s">
        <v>1268</v>
      </c>
      <c r="E57" s="43">
        <v>46125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43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1373</v>
      </c>
      <c r="C58" s="41" t="s">
        <v>1374</v>
      </c>
      <c r="D58" s="39" t="s">
        <v>1268</v>
      </c>
      <c r="E58" s="43">
        <v>46125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3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1375</v>
      </c>
      <c r="C59" s="25" t="s">
        <v>1376</v>
      </c>
      <c r="D59" s="23" t="s">
        <v>1268</v>
      </c>
      <c r="E59" s="43">
        <v>46125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3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1377</v>
      </c>
      <c r="C60" s="41" t="s">
        <v>1378</v>
      </c>
      <c r="D60" s="39" t="s">
        <v>1268</v>
      </c>
      <c r="E60" s="43">
        <v>46125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3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1379</v>
      </c>
      <c r="C61" s="25" t="s">
        <v>1380</v>
      </c>
      <c r="D61" s="23" t="s">
        <v>1268</v>
      </c>
      <c r="E61" s="43">
        <v>46125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43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1381</v>
      </c>
      <c r="C62" s="41" t="s">
        <v>1382</v>
      </c>
      <c r="D62" s="39" t="s">
        <v>1268</v>
      </c>
      <c r="E62" s="43">
        <v>46125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43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1383</v>
      </c>
      <c r="C63" s="25" t="s">
        <v>1384</v>
      </c>
      <c r="D63" s="23" t="s">
        <v>1268</v>
      </c>
      <c r="E63" s="43">
        <v>46125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43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1385</v>
      </c>
      <c r="C64" s="41" t="s">
        <v>1386</v>
      </c>
      <c r="D64" s="39" t="s">
        <v>1268</v>
      </c>
      <c r="E64" s="43">
        <v>46125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43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1387</v>
      </c>
      <c r="C65" s="25" t="s">
        <v>1388</v>
      </c>
      <c r="D65" s="23" t="s">
        <v>1268</v>
      </c>
      <c r="E65" s="43">
        <v>46125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43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1389</v>
      </c>
      <c r="C66" s="41" t="s">
        <v>1390</v>
      </c>
      <c r="D66" s="39" t="s">
        <v>1268</v>
      </c>
      <c r="E66" s="43">
        <v>46125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43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1391</v>
      </c>
      <c r="C67" s="25" t="s">
        <v>1392</v>
      </c>
      <c r="D67" s="23" t="s">
        <v>1268</v>
      </c>
      <c r="E67" s="43">
        <v>46125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43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1393</v>
      </c>
      <c r="C68" s="41" t="s">
        <v>1394</v>
      </c>
      <c r="D68" s="39" t="s">
        <v>1268</v>
      </c>
      <c r="E68" s="43">
        <v>46125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43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1395</v>
      </c>
      <c r="C69" s="25" t="s">
        <v>1396</v>
      </c>
      <c r="D69" s="23" t="s">
        <v>1268</v>
      </c>
      <c r="E69" s="43">
        <v>46125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43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1397</v>
      </c>
      <c r="C70" s="41" t="s">
        <v>1398</v>
      </c>
      <c r="D70" s="39" t="s">
        <v>1268</v>
      </c>
      <c r="E70" s="43">
        <v>46125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43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1399</v>
      </c>
      <c r="C71" s="25" t="s">
        <v>1400</v>
      </c>
      <c r="D71" s="23" t="s">
        <v>1268</v>
      </c>
      <c r="E71" s="43">
        <v>46125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3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1401</v>
      </c>
      <c r="C72" s="41" t="s">
        <v>1402</v>
      </c>
      <c r="D72" s="39" t="s">
        <v>1268</v>
      </c>
      <c r="E72" s="43">
        <v>46125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43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1403</v>
      </c>
      <c r="C73" s="25" t="s">
        <v>1404</v>
      </c>
      <c r="D73" s="23" t="s">
        <v>1268</v>
      </c>
      <c r="E73" s="43">
        <v>46125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43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1405</v>
      </c>
      <c r="C74" s="41" t="s">
        <v>1406</v>
      </c>
      <c r="D74" s="39" t="s">
        <v>1268</v>
      </c>
      <c r="E74" s="43">
        <v>46125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3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1407</v>
      </c>
      <c r="C75" s="25" t="s">
        <v>1408</v>
      </c>
      <c r="D75" s="23" t="s">
        <v>1268</v>
      </c>
      <c r="E75" s="43">
        <v>46125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3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1409</v>
      </c>
      <c r="C76" s="41" t="s">
        <v>1410</v>
      </c>
      <c r="D76" s="39" t="s">
        <v>1268</v>
      </c>
      <c r="E76" s="43">
        <v>46125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3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1411</v>
      </c>
      <c r="C77" s="25" t="s">
        <v>1412</v>
      </c>
      <c r="D77" s="23" t="s">
        <v>1268</v>
      </c>
      <c r="E77" s="43">
        <v>46125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3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1413</v>
      </c>
      <c r="C78" s="41" t="s">
        <v>1414</v>
      </c>
      <c r="D78" s="39" t="s">
        <v>1268</v>
      </c>
      <c r="E78" s="43">
        <v>46125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43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1415</v>
      </c>
      <c r="C79" s="25" t="s">
        <v>1416</v>
      </c>
      <c r="D79" s="23" t="s">
        <v>1268</v>
      </c>
      <c r="E79" s="43">
        <v>46125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43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1417</v>
      </c>
      <c r="C80" s="41" t="s">
        <v>1418</v>
      </c>
      <c r="D80" s="39" t="s">
        <v>1268</v>
      </c>
      <c r="E80" s="43">
        <v>46125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3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1419</v>
      </c>
      <c r="C81" s="25" t="s">
        <v>1420</v>
      </c>
      <c r="D81" s="23" t="s">
        <v>1268</v>
      </c>
      <c r="E81" s="43">
        <v>46125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43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1421</v>
      </c>
      <c r="C82" s="41" t="s">
        <v>1422</v>
      </c>
      <c r="D82" s="39" t="s">
        <v>1268</v>
      </c>
      <c r="E82" s="43">
        <v>46125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43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1423</v>
      </c>
      <c r="C83" s="25" t="s">
        <v>1424</v>
      </c>
      <c r="D83" s="23" t="s">
        <v>1268</v>
      </c>
      <c r="E83" s="43">
        <v>46125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3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1425</v>
      </c>
      <c r="C84" s="41" t="s">
        <v>1426</v>
      </c>
      <c r="D84" s="39" t="s">
        <v>1268</v>
      </c>
      <c r="E84" s="43">
        <v>46125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43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1427</v>
      </c>
      <c r="C85" s="25" t="s">
        <v>1428</v>
      </c>
      <c r="D85" s="23" t="s">
        <v>1268</v>
      </c>
      <c r="E85" s="43">
        <v>46125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3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1429</v>
      </c>
      <c r="C86" s="41" t="s">
        <v>1430</v>
      </c>
      <c r="D86" s="39" t="s">
        <v>1268</v>
      </c>
      <c r="E86" s="43">
        <v>46125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43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1431</v>
      </c>
      <c r="C87" s="25" t="s">
        <v>1432</v>
      </c>
      <c r="D87" s="23" t="s">
        <v>1268</v>
      </c>
      <c r="E87" s="43">
        <v>46125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43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1433</v>
      </c>
      <c r="C88" s="41" t="s">
        <v>1434</v>
      </c>
      <c r="D88" s="39" t="s">
        <v>1268</v>
      </c>
      <c r="E88" s="43">
        <v>46125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3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1435</v>
      </c>
      <c r="C89" s="25" t="s">
        <v>1436</v>
      </c>
      <c r="D89" s="23" t="s">
        <v>1268</v>
      </c>
      <c r="E89" s="43">
        <v>46125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3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1437</v>
      </c>
      <c r="C90" s="41" t="s">
        <v>1438</v>
      </c>
      <c r="D90" s="39" t="s">
        <v>1268</v>
      </c>
      <c r="E90" s="43">
        <v>46125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3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1439</v>
      </c>
      <c r="C91" s="25" t="s">
        <v>1440</v>
      </c>
      <c r="D91" s="23" t="s">
        <v>1268</v>
      </c>
      <c r="E91" s="43">
        <v>46125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3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1441</v>
      </c>
      <c r="C92" s="41" t="s">
        <v>1442</v>
      </c>
      <c r="D92" s="39" t="s">
        <v>1268</v>
      </c>
      <c r="E92" s="43">
        <v>46125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3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1443</v>
      </c>
      <c r="C93" s="25" t="s">
        <v>1444</v>
      </c>
      <c r="D93" s="23" t="s">
        <v>1268</v>
      </c>
      <c r="E93" s="43">
        <v>46125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3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1445</v>
      </c>
      <c r="C94" s="41" t="s">
        <v>1446</v>
      </c>
      <c r="D94" s="39" t="s">
        <v>1268</v>
      </c>
      <c r="E94" s="43">
        <v>46125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3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1447</v>
      </c>
      <c r="C95" s="25" t="s">
        <v>1448</v>
      </c>
      <c r="D95" s="23" t="s">
        <v>1268</v>
      </c>
      <c r="E95" s="43">
        <v>46125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3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1449</v>
      </c>
      <c r="C96" s="41" t="s">
        <v>1450</v>
      </c>
      <c r="D96" s="39" t="s">
        <v>1268</v>
      </c>
      <c r="E96" s="43">
        <v>46125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3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1451</v>
      </c>
      <c r="C97" s="25" t="s">
        <v>1452</v>
      </c>
      <c r="D97" s="23" t="s">
        <v>1268</v>
      </c>
      <c r="E97" s="43">
        <v>46125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3">
        <v>46193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1453</v>
      </c>
      <c r="C98" s="41" t="s">
        <v>1454</v>
      </c>
      <c r="D98" s="39" t="s">
        <v>1268</v>
      </c>
      <c r="E98" s="43">
        <v>46125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3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1455</v>
      </c>
      <c r="C99" s="25" t="s">
        <v>1456</v>
      </c>
      <c r="D99" s="23" t="s">
        <v>1268</v>
      </c>
      <c r="E99" s="43">
        <v>46125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3">
        <v>46193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1457</v>
      </c>
      <c r="C100" s="41" t="s">
        <v>1458</v>
      </c>
      <c r="D100" s="39" t="s">
        <v>1268</v>
      </c>
      <c r="E100" s="43">
        <v>46125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3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1459</v>
      </c>
      <c r="C101" s="25" t="s">
        <v>1460</v>
      </c>
      <c r="D101" s="23" t="s">
        <v>1268</v>
      </c>
      <c r="E101" s="43">
        <v>46125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3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1461</v>
      </c>
      <c r="C102" s="41" t="s">
        <v>1462</v>
      </c>
      <c r="D102" s="39" t="s">
        <v>1268</v>
      </c>
      <c r="E102" s="43">
        <v>46125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3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1463</v>
      </c>
      <c r="C103" s="25" t="s">
        <v>1464</v>
      </c>
      <c r="D103" s="23" t="s">
        <v>1268</v>
      </c>
      <c r="E103" s="43">
        <v>46125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3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1465</v>
      </c>
      <c r="C104" s="41" t="s">
        <v>1466</v>
      </c>
      <c r="D104" s="39" t="s">
        <v>1268</v>
      </c>
      <c r="E104" s="43">
        <v>46125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3">
        <v>46193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1467</v>
      </c>
      <c r="C105" s="25" t="s">
        <v>1468</v>
      </c>
      <c r="D105" s="23" t="s">
        <v>1268</v>
      </c>
      <c r="E105" s="43">
        <v>46125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3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1469</v>
      </c>
      <c r="C106" s="41" t="s">
        <v>1470</v>
      </c>
      <c r="D106" s="39" t="s">
        <v>1268</v>
      </c>
      <c r="E106" s="43">
        <v>46125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3">
        <v>46193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1471</v>
      </c>
      <c r="C107" s="25" t="s">
        <v>1472</v>
      </c>
      <c r="D107" s="23" t="s">
        <v>1268</v>
      </c>
      <c r="E107" s="43">
        <v>46125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3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1473</v>
      </c>
      <c r="C108" s="41" t="s">
        <v>1474</v>
      </c>
      <c r="D108" s="39" t="s">
        <v>1268</v>
      </c>
      <c r="E108" s="43">
        <v>46125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3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1475</v>
      </c>
      <c r="C109" s="25" t="s">
        <v>1476</v>
      </c>
      <c r="D109" s="23" t="s">
        <v>1268</v>
      </c>
      <c r="E109" s="43">
        <v>46125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3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1477</v>
      </c>
      <c r="C110" s="41" t="s">
        <v>1478</v>
      </c>
      <c r="D110" s="39" t="s">
        <v>1268</v>
      </c>
      <c r="E110" s="43">
        <v>46125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3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1479</v>
      </c>
      <c r="C111" s="25" t="s">
        <v>1480</v>
      </c>
      <c r="D111" s="23" t="s">
        <v>1268</v>
      </c>
      <c r="E111" s="43">
        <v>46125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3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1481</v>
      </c>
      <c r="C112" s="41" t="s">
        <v>1482</v>
      </c>
      <c r="D112" s="39" t="s">
        <v>1268</v>
      </c>
      <c r="E112" s="43">
        <v>46125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3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1483</v>
      </c>
      <c r="C113" s="25" t="s">
        <v>1484</v>
      </c>
      <c r="D113" s="23" t="s">
        <v>1268</v>
      </c>
      <c r="E113" s="43">
        <v>46125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3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1485</v>
      </c>
      <c r="C114" s="41" t="s">
        <v>1486</v>
      </c>
      <c r="D114" s="39" t="s">
        <v>1268</v>
      </c>
      <c r="E114" s="43">
        <v>46125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3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1487</v>
      </c>
      <c r="C115" s="25" t="s">
        <v>1488</v>
      </c>
      <c r="D115" s="23" t="s">
        <v>1268</v>
      </c>
      <c r="E115" s="43">
        <v>46125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3">
        <v>46193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1489</v>
      </c>
      <c r="C116" s="41" t="s">
        <v>1490</v>
      </c>
      <c r="D116" s="39" t="s">
        <v>1268</v>
      </c>
      <c r="E116" s="43">
        <v>46125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3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1491</v>
      </c>
      <c r="C117" s="25" t="s">
        <v>1492</v>
      </c>
      <c r="D117" s="23" t="s">
        <v>1268</v>
      </c>
      <c r="E117" s="43">
        <v>46125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3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1493</v>
      </c>
      <c r="C118" s="41" t="s">
        <v>1494</v>
      </c>
      <c r="D118" s="39" t="s">
        <v>1268</v>
      </c>
      <c r="E118" s="43">
        <v>46125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3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1495</v>
      </c>
      <c r="C119" s="25" t="s">
        <v>1496</v>
      </c>
      <c r="D119" s="23" t="s">
        <v>1268</v>
      </c>
      <c r="E119" s="43">
        <v>46125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3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1497</v>
      </c>
      <c r="C120" s="41" t="s">
        <v>1498</v>
      </c>
      <c r="D120" s="39" t="s">
        <v>1268</v>
      </c>
      <c r="E120" s="43">
        <v>46125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3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1499</v>
      </c>
      <c r="C121" s="25" t="s">
        <v>1500</v>
      </c>
      <c r="D121" s="23" t="s">
        <v>1268</v>
      </c>
      <c r="E121" s="43">
        <v>46125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3">
        <v>46193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1501</v>
      </c>
      <c r="C122" s="41" t="s">
        <v>1502</v>
      </c>
      <c r="D122" s="39" t="s">
        <v>1268</v>
      </c>
      <c r="E122" s="43">
        <v>46125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3">
        <v>46193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1503</v>
      </c>
      <c r="C123" s="25" t="s">
        <v>1504</v>
      </c>
      <c r="D123" s="23" t="s">
        <v>1268</v>
      </c>
      <c r="E123" s="43">
        <v>46125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3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1505</v>
      </c>
      <c r="C124" s="41" t="s">
        <v>1506</v>
      </c>
      <c r="D124" s="39" t="s">
        <v>1268</v>
      </c>
      <c r="E124" s="43">
        <v>46125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3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1507</v>
      </c>
      <c r="C125" s="25" t="s">
        <v>1508</v>
      </c>
      <c r="D125" s="23" t="s">
        <v>1268</v>
      </c>
      <c r="E125" s="43">
        <v>46125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3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1509</v>
      </c>
      <c r="C126" s="41" t="s">
        <v>1510</v>
      </c>
      <c r="D126" s="39" t="s">
        <v>1268</v>
      </c>
      <c r="E126" s="43">
        <v>46125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3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1511</v>
      </c>
      <c r="C127" s="25" t="s">
        <v>1512</v>
      </c>
      <c r="D127" s="23" t="s">
        <v>1268</v>
      </c>
      <c r="E127" s="43">
        <v>46125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3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1513</v>
      </c>
      <c r="C128" s="41" t="s">
        <v>1514</v>
      </c>
      <c r="D128" s="39" t="s">
        <v>1268</v>
      </c>
      <c r="E128" s="43">
        <v>46125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3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1515</v>
      </c>
      <c r="C129" s="25" t="s">
        <v>1516</v>
      </c>
      <c r="D129" s="23" t="s">
        <v>1268</v>
      </c>
      <c r="E129" s="43">
        <v>46125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3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1517</v>
      </c>
      <c r="C130" s="41" t="s">
        <v>1518</v>
      </c>
      <c r="D130" s="39" t="s">
        <v>1268</v>
      </c>
      <c r="E130" s="43">
        <v>46125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3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1519</v>
      </c>
      <c r="C131" s="25" t="s">
        <v>1520</v>
      </c>
      <c r="D131" s="23" t="s">
        <v>1268</v>
      </c>
      <c r="E131" s="43">
        <v>46125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3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1521</v>
      </c>
      <c r="C132" s="41" t="s">
        <v>1522</v>
      </c>
      <c r="D132" s="39" t="s">
        <v>1268</v>
      </c>
      <c r="E132" s="43">
        <v>46125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3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1523</v>
      </c>
      <c r="C133" s="25" t="s">
        <v>1524</v>
      </c>
      <c r="D133" s="23" t="s">
        <v>1268</v>
      </c>
      <c r="E133" s="43">
        <v>46125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3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1525</v>
      </c>
      <c r="C134" s="41" t="s">
        <v>1526</v>
      </c>
      <c r="D134" s="39" t="s">
        <v>1268</v>
      </c>
      <c r="E134" s="43">
        <v>46125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3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1527</v>
      </c>
      <c r="C135" s="25" t="s">
        <v>1528</v>
      </c>
      <c r="D135" s="23" t="s">
        <v>1268</v>
      </c>
      <c r="E135" s="43">
        <v>46125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3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1529</v>
      </c>
      <c r="C136" s="41" t="s">
        <v>1530</v>
      </c>
      <c r="D136" s="39" t="s">
        <v>1268</v>
      </c>
      <c r="E136" s="43">
        <v>46125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3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1531</v>
      </c>
      <c r="C137" s="25" t="s">
        <v>1532</v>
      </c>
      <c r="D137" s="23" t="s">
        <v>1268</v>
      </c>
      <c r="E137" s="43">
        <v>46125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3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1533</v>
      </c>
      <c r="C138" s="41" t="s">
        <v>1534</v>
      </c>
      <c r="D138" s="39" t="s">
        <v>1268</v>
      </c>
      <c r="E138" s="43">
        <v>46125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3">
        <v>46193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1535</v>
      </c>
      <c r="C139" s="25" t="s">
        <v>1536</v>
      </c>
      <c r="D139" s="23" t="s">
        <v>1268</v>
      </c>
      <c r="E139" s="43">
        <v>46125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3">
        <v>46193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1537</v>
      </c>
      <c r="C140" s="41" t="s">
        <v>1538</v>
      </c>
      <c r="D140" s="39" t="s">
        <v>1268</v>
      </c>
      <c r="E140" s="43">
        <v>46125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3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1539</v>
      </c>
      <c r="C141" s="25" t="s">
        <v>1540</v>
      </c>
      <c r="D141" s="23" t="s">
        <v>1268</v>
      </c>
      <c r="E141" s="43">
        <v>46125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3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1541</v>
      </c>
      <c r="C142" s="41" t="s">
        <v>1542</v>
      </c>
      <c r="D142" s="39" t="s">
        <v>1268</v>
      </c>
      <c r="E142" s="43">
        <v>46125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3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1543</v>
      </c>
      <c r="C143" s="25" t="s">
        <v>1544</v>
      </c>
      <c r="D143" s="23" t="s">
        <v>1268</v>
      </c>
      <c r="E143" s="43">
        <v>46125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3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1545</v>
      </c>
      <c r="C144" s="41" t="s">
        <v>1546</v>
      </c>
      <c r="D144" s="39" t="s">
        <v>1268</v>
      </c>
      <c r="E144" s="43">
        <v>46125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3">
        <v>46193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1547</v>
      </c>
      <c r="C145" s="25" t="s">
        <v>1548</v>
      </c>
      <c r="D145" s="23" t="s">
        <v>1268</v>
      </c>
      <c r="E145" s="43">
        <v>46125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3">
        <v>46193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1549</v>
      </c>
      <c r="C146" s="41" t="s">
        <v>1550</v>
      </c>
      <c r="D146" s="39" t="s">
        <v>1268</v>
      </c>
      <c r="E146" s="43">
        <v>46125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3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1551</v>
      </c>
      <c r="C147" s="25" t="s">
        <v>1552</v>
      </c>
      <c r="D147" s="23" t="s">
        <v>1268</v>
      </c>
      <c r="E147" s="43">
        <v>46125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3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1553</v>
      </c>
      <c r="C148" s="41" t="s">
        <v>1554</v>
      </c>
      <c r="D148" s="39" t="s">
        <v>1268</v>
      </c>
      <c r="E148" s="43">
        <v>46125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3">
        <v>46193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1555</v>
      </c>
      <c r="C149" s="25" t="s">
        <v>1556</v>
      </c>
      <c r="D149" s="23" t="s">
        <v>1268</v>
      </c>
      <c r="E149" s="43">
        <v>46125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3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1557</v>
      </c>
      <c r="C150" s="41" t="s">
        <v>1558</v>
      </c>
      <c r="D150" s="39" t="s">
        <v>1268</v>
      </c>
      <c r="E150" s="43">
        <v>46125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3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1559</v>
      </c>
      <c r="C151" s="25" t="s">
        <v>1560</v>
      </c>
      <c r="D151" s="23" t="s">
        <v>1268</v>
      </c>
      <c r="E151" s="43">
        <v>46125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3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1561</v>
      </c>
      <c r="C152" s="41" t="s">
        <v>1562</v>
      </c>
      <c r="D152" s="39" t="s">
        <v>1268</v>
      </c>
      <c r="E152" s="43">
        <v>46125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3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1563</v>
      </c>
      <c r="C153" s="25" t="s">
        <v>1564</v>
      </c>
      <c r="D153" s="23" t="s">
        <v>1268</v>
      </c>
      <c r="E153" s="43">
        <v>46125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3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1565</v>
      </c>
      <c r="C154" s="41" t="s">
        <v>1566</v>
      </c>
      <c r="D154" s="39" t="s">
        <v>1268</v>
      </c>
      <c r="E154" s="43">
        <v>46125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3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1567</v>
      </c>
      <c r="C155" s="25" t="s">
        <v>1568</v>
      </c>
      <c r="D155" s="23" t="s">
        <v>1268</v>
      </c>
      <c r="E155" s="43">
        <v>46125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3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1569</v>
      </c>
      <c r="C156" s="41" t="s">
        <v>1570</v>
      </c>
      <c r="D156" s="39" t="s">
        <v>1268</v>
      </c>
      <c r="E156" s="43">
        <v>46125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3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1571</v>
      </c>
      <c r="C157" s="25" t="s">
        <v>1572</v>
      </c>
      <c r="D157" s="23" t="s">
        <v>1268</v>
      </c>
      <c r="E157" s="43">
        <v>46125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3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1573</v>
      </c>
      <c r="C158" s="41" t="s">
        <v>1574</v>
      </c>
      <c r="D158" s="39" t="s">
        <v>1268</v>
      </c>
      <c r="E158" s="43">
        <v>46125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43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1575</v>
      </c>
      <c r="C159" s="25" t="s">
        <v>1576</v>
      </c>
      <c r="D159" s="23" t="s">
        <v>1268</v>
      </c>
      <c r="E159" s="43">
        <v>46125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43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1577</v>
      </c>
      <c r="C160" s="41" t="s">
        <v>1578</v>
      </c>
      <c r="D160" s="39" t="s">
        <v>1268</v>
      </c>
      <c r="E160" s="43">
        <v>46125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3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1579</v>
      </c>
      <c r="C161" s="25" t="s">
        <v>1580</v>
      </c>
      <c r="D161" s="23" t="s">
        <v>1268</v>
      </c>
      <c r="E161" s="43">
        <v>46125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3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1581</v>
      </c>
      <c r="C162" s="41" t="s">
        <v>1582</v>
      </c>
      <c r="D162" s="39" t="s">
        <v>1268</v>
      </c>
      <c r="E162" s="43">
        <v>46125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3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1583</v>
      </c>
      <c r="C163" s="25" t="s">
        <v>1584</v>
      </c>
      <c r="D163" s="23" t="s">
        <v>1268</v>
      </c>
      <c r="E163" s="43">
        <v>46125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3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1585</v>
      </c>
      <c r="C164" s="41" t="s">
        <v>1586</v>
      </c>
      <c r="D164" s="39" t="s">
        <v>1268</v>
      </c>
      <c r="E164" s="43">
        <v>46125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3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1587</v>
      </c>
      <c r="C165" s="25" t="s">
        <v>1588</v>
      </c>
      <c r="D165" s="23" t="s">
        <v>1268</v>
      </c>
      <c r="E165" s="43">
        <v>46125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3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1589</v>
      </c>
      <c r="C166" s="41" t="s">
        <v>1590</v>
      </c>
      <c r="D166" s="39" t="s">
        <v>1268</v>
      </c>
      <c r="E166" s="43">
        <v>46125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3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1591</v>
      </c>
      <c r="C167" s="25" t="s">
        <v>1592</v>
      </c>
      <c r="D167" s="23" t="s">
        <v>1268</v>
      </c>
      <c r="E167" s="43">
        <v>46125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3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1593</v>
      </c>
      <c r="C168" s="41" t="s">
        <v>1594</v>
      </c>
      <c r="D168" s="39" t="s">
        <v>1268</v>
      </c>
      <c r="E168" s="43">
        <v>46125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3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1595</v>
      </c>
      <c r="C169" s="25" t="s">
        <v>1596</v>
      </c>
      <c r="D169" s="23" t="s">
        <v>1268</v>
      </c>
      <c r="E169" s="43">
        <v>46125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3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1597</v>
      </c>
      <c r="C170" s="41" t="s">
        <v>1598</v>
      </c>
      <c r="D170" s="39" t="s">
        <v>1268</v>
      </c>
      <c r="E170" s="43">
        <v>46125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3">
        <v>46193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1599</v>
      </c>
      <c r="C171" s="25" t="s">
        <v>1600</v>
      </c>
      <c r="D171" s="23" t="s">
        <v>1268</v>
      </c>
      <c r="E171" s="43">
        <v>46125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3">
        <v>46193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1601</v>
      </c>
      <c r="C172" s="41" t="s">
        <v>1602</v>
      </c>
      <c r="D172" s="39" t="s">
        <v>1268</v>
      </c>
      <c r="E172" s="43">
        <v>46125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3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1603</v>
      </c>
      <c r="C173" s="25" t="s">
        <v>1604</v>
      </c>
      <c r="D173" s="23" t="s">
        <v>1268</v>
      </c>
      <c r="E173" s="43">
        <v>46125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3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1605</v>
      </c>
      <c r="C174" s="41" t="s">
        <v>1606</v>
      </c>
      <c r="D174" s="39" t="s">
        <v>1268</v>
      </c>
      <c r="E174" s="43">
        <v>46125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3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1607</v>
      </c>
      <c r="C175" s="25" t="s">
        <v>1608</v>
      </c>
      <c r="D175" s="23" t="s">
        <v>1268</v>
      </c>
      <c r="E175" s="43">
        <v>46125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3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1609</v>
      </c>
      <c r="C176" s="41" t="s">
        <v>1610</v>
      </c>
      <c r="D176" s="39" t="s">
        <v>1268</v>
      </c>
      <c r="E176" s="43">
        <v>46125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3">
        <v>46193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1611</v>
      </c>
      <c r="C177" s="25" t="s">
        <v>1612</v>
      </c>
      <c r="D177" s="23" t="s">
        <v>1268</v>
      </c>
      <c r="E177" s="43">
        <v>46125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3">
        <v>46193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1613</v>
      </c>
      <c r="C178" s="41" t="s">
        <v>1614</v>
      </c>
      <c r="D178" s="39" t="s">
        <v>1268</v>
      </c>
      <c r="E178" s="43">
        <v>46125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3">
        <v>46193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1615</v>
      </c>
      <c r="C179" s="25" t="s">
        <v>1616</v>
      </c>
      <c r="D179" s="23" t="s">
        <v>1268</v>
      </c>
      <c r="E179" s="43">
        <v>46125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3">
        <v>46193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1617</v>
      </c>
      <c r="C180" s="41" t="s">
        <v>1618</v>
      </c>
      <c r="D180" s="39" t="s">
        <v>1268</v>
      </c>
      <c r="E180" s="43">
        <v>46125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3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1619</v>
      </c>
      <c r="C181" s="25" t="s">
        <v>1620</v>
      </c>
      <c r="D181" s="23" t="s">
        <v>1268</v>
      </c>
      <c r="E181" s="43">
        <v>46125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3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1621</v>
      </c>
      <c r="C182" s="41" t="s">
        <v>1622</v>
      </c>
      <c r="D182" s="39" t="s">
        <v>1268</v>
      </c>
      <c r="E182" s="43">
        <v>46125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3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1623</v>
      </c>
      <c r="C183" s="25" t="s">
        <v>1624</v>
      </c>
      <c r="D183" s="23" t="s">
        <v>1268</v>
      </c>
      <c r="E183" s="43">
        <v>46125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3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1625</v>
      </c>
      <c r="C184" s="41" t="s">
        <v>1626</v>
      </c>
      <c r="D184" s="39" t="s">
        <v>1268</v>
      </c>
      <c r="E184" s="43">
        <v>46125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3">
        <v>46193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1627</v>
      </c>
      <c r="C185" s="25" t="s">
        <v>1628</v>
      </c>
      <c r="D185" s="23" t="s">
        <v>1268</v>
      </c>
      <c r="E185" s="43">
        <v>46125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3">
        <v>46193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1629</v>
      </c>
      <c r="C186" s="41" t="s">
        <v>1630</v>
      </c>
      <c r="D186" s="39" t="s">
        <v>1268</v>
      </c>
      <c r="E186" s="43">
        <v>46125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3">
        <v>46193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1631</v>
      </c>
      <c r="C187" s="25" t="s">
        <v>1632</v>
      </c>
      <c r="D187" s="23" t="s">
        <v>1268</v>
      </c>
      <c r="E187" s="43">
        <v>46125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3">
        <v>46193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1633</v>
      </c>
      <c r="C188" s="41" t="s">
        <v>1634</v>
      </c>
      <c r="D188" s="39" t="s">
        <v>1268</v>
      </c>
      <c r="E188" s="43">
        <v>46125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3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1635</v>
      </c>
      <c r="C189" s="25" t="s">
        <v>1636</v>
      </c>
      <c r="D189" s="23" t="s">
        <v>1268</v>
      </c>
      <c r="E189" s="43">
        <v>46125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3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1637</v>
      </c>
      <c r="C190" s="41" t="s">
        <v>1638</v>
      </c>
      <c r="D190" s="39" t="s">
        <v>1268</v>
      </c>
      <c r="E190" s="43">
        <v>46125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3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1639</v>
      </c>
      <c r="C191" s="25" t="s">
        <v>1640</v>
      </c>
      <c r="D191" s="23" t="s">
        <v>1268</v>
      </c>
      <c r="E191" s="43">
        <v>46125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3">
        <v>46193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1641</v>
      </c>
      <c r="C192" s="41" t="s">
        <v>1642</v>
      </c>
      <c r="D192" s="39" t="s">
        <v>1268</v>
      </c>
      <c r="E192" s="43">
        <v>46125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3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1643</v>
      </c>
      <c r="C193" s="25" t="s">
        <v>1644</v>
      </c>
      <c r="D193" s="23" t="s">
        <v>1268</v>
      </c>
      <c r="E193" s="43">
        <v>46125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3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1645</v>
      </c>
      <c r="C194" s="41" t="s">
        <v>1646</v>
      </c>
      <c r="D194" s="39" t="s">
        <v>1268</v>
      </c>
      <c r="E194" s="43">
        <v>46125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3">
        <v>46193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1647</v>
      </c>
      <c r="C195" s="25" t="s">
        <v>1648</v>
      </c>
      <c r="D195" s="23" t="s">
        <v>1268</v>
      </c>
      <c r="E195" s="43">
        <v>46125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3">
        <v>46193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1649</v>
      </c>
      <c r="C196" s="41" t="s">
        <v>1650</v>
      </c>
      <c r="D196" s="39" t="s">
        <v>1268</v>
      </c>
      <c r="E196" s="43">
        <v>46125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3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1651</v>
      </c>
      <c r="C197" s="25" t="s">
        <v>1652</v>
      </c>
      <c r="D197" s="23" t="s">
        <v>1268</v>
      </c>
      <c r="E197" s="43">
        <v>46125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3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1653</v>
      </c>
      <c r="C198" s="41" t="s">
        <v>1654</v>
      </c>
      <c r="D198" s="39" t="s">
        <v>1268</v>
      </c>
      <c r="E198" s="43">
        <v>46125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3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1655</v>
      </c>
      <c r="C199" s="25" t="s">
        <v>1656</v>
      </c>
      <c r="D199" s="23" t="s">
        <v>1268</v>
      </c>
      <c r="E199" s="43">
        <v>46125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3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1657</v>
      </c>
      <c r="C200" s="41" t="s">
        <v>1658</v>
      </c>
      <c r="D200" s="39" t="s">
        <v>1268</v>
      </c>
      <c r="E200" s="43">
        <v>46125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3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1659</v>
      </c>
      <c r="C201" s="25" t="s">
        <v>1660</v>
      </c>
      <c r="D201" s="23" t="s">
        <v>1268</v>
      </c>
      <c r="E201" s="43">
        <v>46125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3">
        <v>46193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1661</v>
      </c>
      <c r="C202" s="41" t="s">
        <v>1662</v>
      </c>
      <c r="D202" s="39" t="s">
        <v>1268</v>
      </c>
      <c r="E202" s="43">
        <v>46125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3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1663</v>
      </c>
      <c r="C203" s="25" t="s">
        <v>1664</v>
      </c>
      <c r="D203" s="23" t="s">
        <v>1268</v>
      </c>
      <c r="E203" s="43">
        <v>46125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3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1665</v>
      </c>
      <c r="C204" s="41" t="s">
        <v>1666</v>
      </c>
      <c r="D204" s="39" t="s">
        <v>1268</v>
      </c>
      <c r="E204" s="43">
        <v>46125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3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1667</v>
      </c>
      <c r="C205" s="25" t="s">
        <v>1668</v>
      </c>
      <c r="D205" s="23" t="s">
        <v>1268</v>
      </c>
      <c r="E205" s="43">
        <v>46125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3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1669</v>
      </c>
      <c r="C206" s="41" t="s">
        <v>1670</v>
      </c>
      <c r="D206" s="39" t="s">
        <v>1268</v>
      </c>
      <c r="E206" s="43">
        <v>46125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3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1671</v>
      </c>
      <c r="C207" s="25" t="s">
        <v>1672</v>
      </c>
      <c r="D207" s="23" t="s">
        <v>1268</v>
      </c>
      <c r="E207" s="43">
        <v>46125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3">
        <v>46193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1673</v>
      </c>
      <c r="C208" s="41" t="s">
        <v>1674</v>
      </c>
      <c r="D208" s="39" t="s">
        <v>1268</v>
      </c>
      <c r="E208" s="43">
        <v>46125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3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1675</v>
      </c>
      <c r="C209" s="25" t="s">
        <v>1676</v>
      </c>
      <c r="D209" s="23" t="s">
        <v>1268</v>
      </c>
      <c r="E209" s="43">
        <v>46125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3">
        <v>46193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1677</v>
      </c>
      <c r="C210" s="41" t="s">
        <v>1678</v>
      </c>
      <c r="D210" s="39" t="s">
        <v>1268</v>
      </c>
      <c r="E210" s="43">
        <v>46125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3">
        <v>46193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1679</v>
      </c>
      <c r="C211" s="25" t="s">
        <v>1680</v>
      </c>
      <c r="D211" s="23" t="s">
        <v>1268</v>
      </c>
      <c r="E211" s="43">
        <v>46125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3">
        <v>46193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1681</v>
      </c>
      <c r="C212" s="41" t="s">
        <v>1682</v>
      </c>
      <c r="D212" s="39" t="s">
        <v>1268</v>
      </c>
      <c r="E212" s="43">
        <v>46125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43">
        <v>46193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1683</v>
      </c>
      <c r="C213" s="25" t="s">
        <v>1684</v>
      </c>
      <c r="D213" s="23" t="s">
        <v>1268</v>
      </c>
      <c r="E213" s="43">
        <v>46125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3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1685</v>
      </c>
      <c r="C214" s="41" t="s">
        <v>1686</v>
      </c>
      <c r="D214" s="39" t="s">
        <v>1268</v>
      </c>
      <c r="E214" s="43">
        <v>46125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3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1687</v>
      </c>
      <c r="C215" s="25" t="s">
        <v>1688</v>
      </c>
      <c r="D215" s="23" t="s">
        <v>1268</v>
      </c>
      <c r="E215" s="43">
        <v>46125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3">
        <v>46193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1689</v>
      </c>
      <c r="C216" s="41" t="s">
        <v>1690</v>
      </c>
      <c r="D216" s="39" t="s">
        <v>1268</v>
      </c>
      <c r="E216" s="43">
        <v>46125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3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1691</v>
      </c>
      <c r="C217" s="25" t="s">
        <v>1692</v>
      </c>
      <c r="D217" s="23" t="s">
        <v>1268</v>
      </c>
      <c r="E217" s="43">
        <v>46125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3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1693</v>
      </c>
      <c r="C218" s="41" t="s">
        <v>1694</v>
      </c>
      <c r="D218" s="39" t="s">
        <v>1268</v>
      </c>
      <c r="E218" s="43">
        <v>46125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3">
        <v>46193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1695</v>
      </c>
      <c r="C219" s="25" t="s">
        <v>1696</v>
      </c>
      <c r="D219" s="23" t="s">
        <v>1268</v>
      </c>
      <c r="E219" s="43">
        <v>46125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3">
        <v>46193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1697</v>
      </c>
      <c r="C220" s="41" t="s">
        <v>1698</v>
      </c>
      <c r="D220" s="39" t="s">
        <v>1268</v>
      </c>
      <c r="E220" s="43">
        <v>46125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3">
        <v>46193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1699</v>
      </c>
      <c r="C221" s="25" t="s">
        <v>1700</v>
      </c>
      <c r="D221" s="23" t="s">
        <v>1268</v>
      </c>
      <c r="E221" s="43">
        <v>46125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3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1701</v>
      </c>
      <c r="C222" s="41" t="s">
        <v>1702</v>
      </c>
      <c r="D222" s="39" t="s">
        <v>1268</v>
      </c>
      <c r="E222" s="43">
        <v>46125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3">
        <v>46193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1703</v>
      </c>
      <c r="C223" s="25" t="s">
        <v>1704</v>
      </c>
      <c r="D223" s="23" t="s">
        <v>1268</v>
      </c>
      <c r="E223" s="43">
        <v>46125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3">
        <v>46193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1705</v>
      </c>
      <c r="C224" s="41" t="s">
        <v>1706</v>
      </c>
      <c r="D224" s="39" t="s">
        <v>1268</v>
      </c>
      <c r="E224" s="43">
        <v>46125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3">
        <v>46193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1707</v>
      </c>
      <c r="C225" s="25" t="s">
        <v>1708</v>
      </c>
      <c r="D225" s="23" t="s">
        <v>1268</v>
      </c>
      <c r="E225" s="43">
        <v>46125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3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1709</v>
      </c>
      <c r="C226" s="41" t="s">
        <v>1710</v>
      </c>
      <c r="D226" s="39" t="s">
        <v>1268</v>
      </c>
      <c r="E226" s="43">
        <v>46125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3">
        <v>46193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1711</v>
      </c>
      <c r="C227" s="25" t="s">
        <v>1712</v>
      </c>
      <c r="D227" s="23" t="s">
        <v>1268</v>
      </c>
      <c r="E227" s="43">
        <v>46125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3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1713</v>
      </c>
      <c r="C228" s="41" t="s">
        <v>1714</v>
      </c>
      <c r="D228" s="39" t="s">
        <v>1268</v>
      </c>
      <c r="E228" s="43">
        <v>46125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3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1715</v>
      </c>
      <c r="C229" s="25" t="s">
        <v>1716</v>
      </c>
      <c r="D229" s="23" t="s">
        <v>1268</v>
      </c>
      <c r="E229" s="43">
        <v>46125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3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1717</v>
      </c>
      <c r="C230" s="41" t="s">
        <v>1718</v>
      </c>
      <c r="D230" s="39" t="s">
        <v>1268</v>
      </c>
      <c r="E230" s="43">
        <v>46125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3">
        <v>46193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1719</v>
      </c>
      <c r="C231" s="25" t="s">
        <v>1720</v>
      </c>
      <c r="D231" s="23" t="s">
        <v>1268</v>
      </c>
      <c r="E231" s="43">
        <v>46125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3">
        <v>46193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1721</v>
      </c>
      <c r="C232" s="41" t="s">
        <v>1722</v>
      </c>
      <c r="D232" s="39" t="s">
        <v>1268</v>
      </c>
      <c r="E232" s="43">
        <v>46125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3">
        <v>46193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1723</v>
      </c>
      <c r="C233" s="25" t="s">
        <v>1724</v>
      </c>
      <c r="D233" s="23" t="s">
        <v>1268</v>
      </c>
      <c r="E233" s="43">
        <v>46125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3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1725</v>
      </c>
      <c r="C234" s="41" t="s">
        <v>1726</v>
      </c>
      <c r="D234" s="39" t="s">
        <v>1268</v>
      </c>
      <c r="E234" s="43">
        <v>46125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3">
        <v>46193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1727</v>
      </c>
      <c r="C235" s="25" t="s">
        <v>1728</v>
      </c>
      <c r="D235" s="23" t="s">
        <v>1268</v>
      </c>
      <c r="E235" s="43">
        <v>46125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3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1729</v>
      </c>
      <c r="C236" s="41" t="s">
        <v>1730</v>
      </c>
      <c r="D236" s="39" t="s">
        <v>1268</v>
      </c>
      <c r="E236" s="43">
        <v>46125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3">
        <v>46193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1731</v>
      </c>
      <c r="C237" s="25" t="s">
        <v>1732</v>
      </c>
      <c r="D237" s="23" t="s">
        <v>1268</v>
      </c>
      <c r="E237" s="43">
        <v>46125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3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1733</v>
      </c>
      <c r="C238" s="41" t="s">
        <v>1734</v>
      </c>
      <c r="D238" s="39" t="s">
        <v>1268</v>
      </c>
      <c r="E238" s="43">
        <v>46125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3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1735</v>
      </c>
      <c r="C239" s="25" t="s">
        <v>1736</v>
      </c>
      <c r="D239" s="23" t="s">
        <v>1268</v>
      </c>
      <c r="E239" s="43">
        <v>46125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3">
        <v>46193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1737</v>
      </c>
      <c r="C240" s="41" t="s">
        <v>1738</v>
      </c>
      <c r="D240" s="39" t="s">
        <v>1268</v>
      </c>
      <c r="E240" s="43">
        <v>46125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3">
        <v>46193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1739</v>
      </c>
      <c r="C241" s="25" t="s">
        <v>1740</v>
      </c>
      <c r="D241" s="23" t="s">
        <v>1268</v>
      </c>
      <c r="E241" s="43">
        <v>46125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3">
        <v>46193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1741</v>
      </c>
      <c r="C242" s="41" t="s">
        <v>1742</v>
      </c>
      <c r="D242" s="39" t="s">
        <v>1268</v>
      </c>
      <c r="E242" s="43">
        <v>46125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3">
        <v>46193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1743</v>
      </c>
      <c r="C243" s="25" t="s">
        <v>1744</v>
      </c>
      <c r="D243" s="23" t="s">
        <v>1268</v>
      </c>
      <c r="E243" s="43">
        <v>46125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3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1745</v>
      </c>
      <c r="C244" s="41" t="s">
        <v>1746</v>
      </c>
      <c r="D244" s="39" t="s">
        <v>1268</v>
      </c>
      <c r="E244" s="43">
        <v>46125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3">
        <v>46193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1747</v>
      </c>
      <c r="C245" s="25" t="s">
        <v>1748</v>
      </c>
      <c r="D245" s="23" t="s">
        <v>1268</v>
      </c>
      <c r="E245" s="43">
        <v>46125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3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1749</v>
      </c>
      <c r="C246" s="41" t="s">
        <v>1750</v>
      </c>
      <c r="D246" s="39" t="s">
        <v>1268</v>
      </c>
      <c r="E246" s="43">
        <v>46125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3">
        <v>46193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1751</v>
      </c>
      <c r="C247" s="25" t="s">
        <v>1752</v>
      </c>
      <c r="D247" s="23" t="s">
        <v>1268</v>
      </c>
      <c r="E247" s="43">
        <v>46125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3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1753</v>
      </c>
      <c r="C248" s="41" t="s">
        <v>1754</v>
      </c>
      <c r="D248" s="39" t="s">
        <v>1268</v>
      </c>
      <c r="E248" s="43">
        <v>46125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3">
        <v>46193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1755</v>
      </c>
      <c r="C249" s="25" t="s">
        <v>1756</v>
      </c>
      <c r="D249" s="23" t="s">
        <v>1268</v>
      </c>
      <c r="E249" s="43">
        <v>46125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3">
        <v>46193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1757</v>
      </c>
      <c r="C250" s="41" t="s">
        <v>1758</v>
      </c>
      <c r="D250" s="39" t="s">
        <v>1268</v>
      </c>
      <c r="E250" s="43">
        <v>46125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3">
        <v>46193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1759</v>
      </c>
      <c r="C251" s="25" t="s">
        <v>1760</v>
      </c>
      <c r="D251" s="23" t="s">
        <v>1268</v>
      </c>
      <c r="E251" s="43">
        <v>46125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3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1761</v>
      </c>
      <c r="C252" s="41" t="s">
        <v>1762</v>
      </c>
      <c r="D252" s="39" t="s">
        <v>1268</v>
      </c>
      <c r="E252" s="43">
        <v>46125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3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1763</v>
      </c>
      <c r="C253" s="25" t="s">
        <v>1764</v>
      </c>
      <c r="D253" s="23" t="s">
        <v>1268</v>
      </c>
      <c r="E253" s="43">
        <v>46125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3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1765</v>
      </c>
      <c r="C254" s="41" t="s">
        <v>1766</v>
      </c>
      <c r="D254" s="39" t="s">
        <v>1268</v>
      </c>
      <c r="E254" s="43">
        <v>46125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3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1767</v>
      </c>
      <c r="C255" s="25" t="s">
        <v>1768</v>
      </c>
      <c r="D255" s="23" t="s">
        <v>1268</v>
      </c>
      <c r="E255" s="43">
        <v>46125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3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1769</v>
      </c>
      <c r="C256" s="41" t="s">
        <v>1770</v>
      </c>
      <c r="D256" s="39" t="s">
        <v>1268</v>
      </c>
      <c r="E256" s="43">
        <v>46125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3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1771</v>
      </c>
      <c r="C257" s="25" t="s">
        <v>1772</v>
      </c>
      <c r="D257" s="23" t="s">
        <v>1268</v>
      </c>
      <c r="E257" s="43">
        <v>46125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3">
        <v>46193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1773</v>
      </c>
      <c r="C258" s="41" t="s">
        <v>1774</v>
      </c>
      <c r="D258" s="39" t="s">
        <v>1268</v>
      </c>
      <c r="E258" s="43">
        <v>46125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3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1775</v>
      </c>
      <c r="C259" s="25" t="s">
        <v>1776</v>
      </c>
      <c r="D259" s="23" t="s">
        <v>1268</v>
      </c>
      <c r="E259" s="43">
        <v>46125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3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1777</v>
      </c>
      <c r="C260" s="41" t="s">
        <v>1778</v>
      </c>
      <c r="D260" s="39" t="s">
        <v>1268</v>
      </c>
      <c r="E260" s="43">
        <v>46125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3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1779</v>
      </c>
      <c r="C261" s="25" t="s">
        <v>1780</v>
      </c>
      <c r="D261" s="23" t="s">
        <v>1268</v>
      </c>
      <c r="E261" s="43">
        <v>46125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43">
        <v>46193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1781</v>
      </c>
      <c r="C262" s="41" t="s">
        <v>1782</v>
      </c>
      <c r="D262" s="39" t="s">
        <v>1268</v>
      </c>
      <c r="E262" s="43">
        <v>46125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3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1783</v>
      </c>
      <c r="C263" s="25" t="s">
        <v>1784</v>
      </c>
      <c r="D263" s="23" t="s">
        <v>1268</v>
      </c>
      <c r="E263" s="43">
        <v>46125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3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1785</v>
      </c>
      <c r="C264" s="41" t="s">
        <v>1786</v>
      </c>
      <c r="D264" s="39" t="s">
        <v>1268</v>
      </c>
      <c r="E264" s="43">
        <v>46125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3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1787</v>
      </c>
      <c r="C265" s="25" t="s">
        <v>1788</v>
      </c>
      <c r="D265" s="23" t="s">
        <v>1268</v>
      </c>
      <c r="E265" s="43">
        <v>46125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3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1789</v>
      </c>
      <c r="C266" s="41" t="s">
        <v>1790</v>
      </c>
      <c r="D266" s="39" t="s">
        <v>1268</v>
      </c>
      <c r="E266" s="43">
        <v>46125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3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1791</v>
      </c>
      <c r="C267" s="25" t="s">
        <v>1792</v>
      </c>
      <c r="D267" s="23" t="s">
        <v>1268</v>
      </c>
      <c r="E267" s="43">
        <v>46125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3">
        <v>46193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1793</v>
      </c>
      <c r="C268" s="41" t="s">
        <v>1794</v>
      </c>
      <c r="D268" s="39" t="s">
        <v>1268</v>
      </c>
      <c r="E268" s="43">
        <v>46125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3">
        <v>46193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1795</v>
      </c>
      <c r="C269" s="25" t="s">
        <v>1796</v>
      </c>
      <c r="D269" s="23" t="s">
        <v>1268</v>
      </c>
      <c r="E269" s="43">
        <v>46125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3">
        <v>46193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1797</v>
      </c>
      <c r="C270" s="41" t="s">
        <v>1798</v>
      </c>
      <c r="D270" s="39" t="s">
        <v>1268</v>
      </c>
      <c r="E270" s="43">
        <v>46125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3">
        <v>46193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1799</v>
      </c>
      <c r="C271" s="25" t="s">
        <v>1800</v>
      </c>
      <c r="D271" s="23" t="s">
        <v>1268</v>
      </c>
      <c r="E271" s="43">
        <v>46125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3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1801</v>
      </c>
      <c r="C272" s="41" t="s">
        <v>1802</v>
      </c>
      <c r="D272" s="39" t="s">
        <v>1268</v>
      </c>
      <c r="E272" s="43">
        <v>46125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3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1803</v>
      </c>
      <c r="C273" s="25" t="s">
        <v>1804</v>
      </c>
      <c r="D273" s="23" t="s">
        <v>1268</v>
      </c>
      <c r="E273" s="43">
        <v>46125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3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1805</v>
      </c>
      <c r="C274" s="41" t="s">
        <v>1806</v>
      </c>
      <c r="D274" s="39" t="s">
        <v>1268</v>
      </c>
      <c r="E274" s="43">
        <v>46125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3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1807</v>
      </c>
      <c r="C275" s="25" t="s">
        <v>1808</v>
      </c>
      <c r="D275" s="23" t="s">
        <v>1268</v>
      </c>
      <c r="E275" s="43">
        <v>46125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3">
        <v>46193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1809</v>
      </c>
      <c r="C276" s="41" t="s">
        <v>1810</v>
      </c>
      <c r="D276" s="39" t="s">
        <v>1268</v>
      </c>
      <c r="E276" s="43">
        <v>46125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3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1811</v>
      </c>
      <c r="C277" s="25" t="s">
        <v>1812</v>
      </c>
      <c r="D277" s="23" t="s">
        <v>1268</v>
      </c>
      <c r="E277" s="43">
        <v>46125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3">
        <v>46193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1813</v>
      </c>
      <c r="C278" s="41" t="s">
        <v>1814</v>
      </c>
      <c r="D278" s="39" t="s">
        <v>1268</v>
      </c>
      <c r="E278" s="43">
        <v>46125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3">
        <v>46193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1815</v>
      </c>
      <c r="C279" s="25" t="s">
        <v>1816</v>
      </c>
      <c r="D279" s="23" t="s">
        <v>1268</v>
      </c>
      <c r="E279" s="43">
        <v>46125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3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1817</v>
      </c>
      <c r="C280" s="41" t="s">
        <v>1818</v>
      </c>
      <c r="D280" s="39" t="s">
        <v>1268</v>
      </c>
      <c r="E280" s="43">
        <v>46125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3">
        <v>46193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1819</v>
      </c>
      <c r="C281" s="25" t="s">
        <v>1820</v>
      </c>
      <c r="D281" s="23" t="s">
        <v>1268</v>
      </c>
      <c r="E281" s="43">
        <v>46125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3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1821</v>
      </c>
      <c r="C282" s="41" t="s">
        <v>1822</v>
      </c>
      <c r="D282" s="39" t="s">
        <v>1268</v>
      </c>
      <c r="E282" s="43">
        <v>46125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3">
        <v>46193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1823</v>
      </c>
      <c r="C283" s="25" t="s">
        <v>1824</v>
      </c>
      <c r="D283" s="23" t="s">
        <v>1268</v>
      </c>
      <c r="E283" s="43">
        <v>46125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3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1825</v>
      </c>
      <c r="C284" s="41" t="s">
        <v>1826</v>
      </c>
      <c r="D284" s="39" t="s">
        <v>1268</v>
      </c>
      <c r="E284" s="43">
        <v>46125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3">
        <v>46193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1827</v>
      </c>
      <c r="C285" s="25" t="s">
        <v>1828</v>
      </c>
      <c r="D285" s="23" t="s">
        <v>1268</v>
      </c>
      <c r="E285" s="43">
        <v>46125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3">
        <v>46193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1829</v>
      </c>
      <c r="C286" s="41" t="s">
        <v>1830</v>
      </c>
      <c r="D286" s="39" t="s">
        <v>1268</v>
      </c>
      <c r="E286" s="43">
        <v>46125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3">
        <v>46193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1831</v>
      </c>
      <c r="C287" s="25" t="s">
        <v>1832</v>
      </c>
      <c r="D287" s="23" t="s">
        <v>1268</v>
      </c>
      <c r="E287" s="43">
        <v>46125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3">
        <v>46193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1833</v>
      </c>
      <c r="C288" s="41" t="s">
        <v>1834</v>
      </c>
      <c r="D288" s="39" t="s">
        <v>1268</v>
      </c>
      <c r="E288" s="43">
        <v>46125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3">
        <v>46193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1835</v>
      </c>
      <c r="C289" s="25" t="s">
        <v>1836</v>
      </c>
      <c r="D289" s="23" t="s">
        <v>1268</v>
      </c>
      <c r="E289" s="43">
        <v>46125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3">
        <v>46193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1837</v>
      </c>
      <c r="C290" s="41" t="s">
        <v>1838</v>
      </c>
      <c r="D290" s="39" t="s">
        <v>1268</v>
      </c>
      <c r="E290" s="43">
        <v>46125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3">
        <v>46193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1839</v>
      </c>
      <c r="C291" s="25" t="s">
        <v>1840</v>
      </c>
      <c r="D291" s="23" t="s">
        <v>1268</v>
      </c>
      <c r="E291" s="43">
        <v>46125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3">
        <v>46193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1841</v>
      </c>
      <c r="C292" s="41" t="s">
        <v>1842</v>
      </c>
      <c r="D292" s="39" t="s">
        <v>1268</v>
      </c>
      <c r="E292" s="43">
        <v>46125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3">
        <v>46193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1843</v>
      </c>
      <c r="C293" s="25" t="s">
        <v>1844</v>
      </c>
      <c r="D293" s="23" t="s">
        <v>1268</v>
      </c>
      <c r="E293" s="43">
        <v>46125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43">
        <v>46193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1845</v>
      </c>
      <c r="C294" s="41" t="s">
        <v>1846</v>
      </c>
      <c r="D294" s="39" t="s">
        <v>1268</v>
      </c>
      <c r="E294" s="43">
        <v>46125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3">
        <v>46193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1847</v>
      </c>
      <c r="C295" s="25" t="s">
        <v>1848</v>
      </c>
      <c r="D295" s="23" t="s">
        <v>1268</v>
      </c>
      <c r="E295" s="43">
        <v>46125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43">
        <v>46193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1849</v>
      </c>
      <c r="C296" s="41" t="s">
        <v>1850</v>
      </c>
      <c r="D296" s="39" t="s">
        <v>1268</v>
      </c>
      <c r="E296" s="43">
        <v>46125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43">
        <v>46193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1851</v>
      </c>
      <c r="C297" s="25" t="s">
        <v>1852</v>
      </c>
      <c r="D297" s="23" t="s">
        <v>1268</v>
      </c>
      <c r="E297" s="43">
        <v>46125</v>
      </c>
      <c r="F297" s="26" t="s">
        <v>55</v>
      </c>
      <c r="G297" s="26" t="s">
        <v>57</v>
      </c>
      <c r="H297" s="26" t="s">
        <v>57</v>
      </c>
      <c r="I297" s="26" t="s">
        <v>153</v>
      </c>
      <c r="J297" s="26" t="s">
        <v>57</v>
      </c>
      <c r="K297" s="27"/>
      <c r="L297" s="28" t="s">
        <v>56</v>
      </c>
      <c r="M297" s="29" t="str">
        <f t="shared" si="20"/>
        <v>⚠ Missing</v>
      </c>
      <c r="N297" s="43">
        <v>46193</v>
      </c>
      <c r="O297" s="26" t="s">
        <v>55</v>
      </c>
      <c r="P297" s="26" t="s">
        <v>57</v>
      </c>
      <c r="Q297" s="26" t="s">
        <v>57</v>
      </c>
      <c r="R297" s="26" t="s">
        <v>153</v>
      </c>
      <c r="S297" s="26" t="s">
        <v>57</v>
      </c>
      <c r="T297" s="27"/>
      <c r="U297" s="28" t="s">
        <v>56</v>
      </c>
      <c r="V297" s="29" t="str">
        <f t="shared" si="21"/>
        <v>⚠ Missing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1853</v>
      </c>
      <c r="C298" s="41" t="s">
        <v>1854</v>
      </c>
      <c r="D298" s="39" t="s">
        <v>1268</v>
      </c>
      <c r="E298" s="43">
        <v>46125</v>
      </c>
      <c r="F298" s="26" t="s">
        <v>55</v>
      </c>
      <c r="G298" s="26" t="s">
        <v>57</v>
      </c>
      <c r="H298" s="26" t="s">
        <v>57</v>
      </c>
      <c r="I298" s="26" t="s">
        <v>153</v>
      </c>
      <c r="J298" s="26" t="s">
        <v>57</v>
      </c>
      <c r="K298" s="27"/>
      <c r="L298" s="28" t="s">
        <v>56</v>
      </c>
      <c r="M298" s="29" t="str">
        <f t="shared" si="20"/>
        <v>⚠ Missing</v>
      </c>
      <c r="N298" s="43">
        <v>46193</v>
      </c>
      <c r="O298" s="26" t="s">
        <v>55</v>
      </c>
      <c r="P298" s="26" t="s">
        <v>57</v>
      </c>
      <c r="Q298" s="26" t="s">
        <v>57</v>
      </c>
      <c r="R298" s="26" t="s">
        <v>153</v>
      </c>
      <c r="S298" s="26" t="s">
        <v>57</v>
      </c>
      <c r="T298" s="27"/>
      <c r="U298" s="28" t="s">
        <v>56</v>
      </c>
      <c r="V298" s="29" t="str">
        <f t="shared" si="21"/>
        <v>⚠ Missing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1855</v>
      </c>
      <c r="C299" s="25" t="s">
        <v>1856</v>
      </c>
      <c r="D299" s="23" t="s">
        <v>1268</v>
      </c>
      <c r="E299" s="43">
        <v>46125</v>
      </c>
      <c r="F299" s="26" t="s">
        <v>55</v>
      </c>
      <c r="G299" s="26" t="s">
        <v>57</v>
      </c>
      <c r="H299" s="26" t="s">
        <v>57</v>
      </c>
      <c r="I299" s="26" t="s">
        <v>153</v>
      </c>
      <c r="J299" s="26" t="s">
        <v>57</v>
      </c>
      <c r="K299" s="27"/>
      <c r="L299" s="28" t="s">
        <v>56</v>
      </c>
      <c r="M299" s="29" t="str">
        <f t="shared" si="20"/>
        <v>⚠ Missing</v>
      </c>
      <c r="N299" s="43">
        <v>46193</v>
      </c>
      <c r="O299" s="26" t="s">
        <v>55</v>
      </c>
      <c r="P299" s="26" t="s">
        <v>57</v>
      </c>
      <c r="Q299" s="26" t="s">
        <v>57</v>
      </c>
      <c r="R299" s="26" t="s">
        <v>153</v>
      </c>
      <c r="S299" s="26" t="s">
        <v>57</v>
      </c>
      <c r="T299" s="27"/>
      <c r="U299" s="28" t="s">
        <v>56</v>
      </c>
      <c r="V299" s="29" t="str">
        <f t="shared" si="21"/>
        <v>⚠ Missing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1857</v>
      </c>
      <c r="C300" s="41" t="s">
        <v>1858</v>
      </c>
      <c r="D300" s="39" t="s">
        <v>1268</v>
      </c>
      <c r="E300" s="43">
        <v>46125</v>
      </c>
      <c r="F300" s="26" t="s">
        <v>55</v>
      </c>
      <c r="G300" s="26" t="s">
        <v>56</v>
      </c>
      <c r="H300" s="26" t="s">
        <v>57</v>
      </c>
      <c r="I300" s="26" t="s">
        <v>58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43">
        <v>46193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1859</v>
      </c>
      <c r="C301" s="25" t="s">
        <v>1860</v>
      </c>
      <c r="D301" s="23" t="s">
        <v>1268</v>
      </c>
      <c r="E301" s="43">
        <v>46125</v>
      </c>
      <c r="F301" s="26" t="s">
        <v>55</v>
      </c>
      <c r="G301" s="26" t="s">
        <v>56</v>
      </c>
      <c r="H301" s="26" t="s">
        <v>57</v>
      </c>
      <c r="I301" s="26" t="s">
        <v>58</v>
      </c>
      <c r="J301" s="26" t="s">
        <v>56</v>
      </c>
      <c r="K301" s="27"/>
      <c r="L301" s="28" t="s">
        <v>57</v>
      </c>
      <c r="M301" s="29" t="str">
        <f t="shared" si="20"/>
        <v>✓ OK</v>
      </c>
      <c r="N301" s="43">
        <v>46193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1861</v>
      </c>
      <c r="C302" s="41" t="s">
        <v>1862</v>
      </c>
      <c r="D302" s="39" t="s">
        <v>1268</v>
      </c>
      <c r="E302" s="43">
        <v>46125</v>
      </c>
      <c r="F302" s="26" t="s">
        <v>55</v>
      </c>
      <c r="G302" s="26" t="s">
        <v>56</v>
      </c>
      <c r="H302" s="26" t="s">
        <v>57</v>
      </c>
      <c r="I302" s="26" t="s">
        <v>58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43">
        <v>46193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1863</v>
      </c>
      <c r="C303" s="25" t="s">
        <v>1864</v>
      </c>
      <c r="D303" s="23" t="s">
        <v>1268</v>
      </c>
      <c r="E303" s="43">
        <v>46125</v>
      </c>
      <c r="F303" s="26" t="s">
        <v>55</v>
      </c>
      <c r="G303" s="26" t="s">
        <v>56</v>
      </c>
      <c r="H303" s="26" t="s">
        <v>57</v>
      </c>
      <c r="I303" s="26" t="s">
        <v>58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43">
        <v>46193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1865</v>
      </c>
      <c r="C304" s="41" t="s">
        <v>1866</v>
      </c>
      <c r="D304" s="39" t="s">
        <v>1268</v>
      </c>
      <c r="E304" s="43">
        <v>46125</v>
      </c>
      <c r="F304" s="26" t="s">
        <v>55</v>
      </c>
      <c r="G304" s="26" t="s">
        <v>56</v>
      </c>
      <c r="H304" s="26" t="s">
        <v>57</v>
      </c>
      <c r="I304" s="26" t="s">
        <v>58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43">
        <v>46193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1867</v>
      </c>
      <c r="C305" s="25" t="s">
        <v>1868</v>
      </c>
      <c r="D305" s="23" t="s">
        <v>1268</v>
      </c>
      <c r="E305" s="43">
        <v>46125</v>
      </c>
      <c r="F305" s="26" t="s">
        <v>55</v>
      </c>
      <c r="G305" s="26" t="s">
        <v>56</v>
      </c>
      <c r="H305" s="26" t="s">
        <v>57</v>
      </c>
      <c r="I305" s="26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43">
        <v>46193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1869</v>
      </c>
      <c r="C306" s="41" t="s">
        <v>1870</v>
      </c>
      <c r="D306" s="39" t="s">
        <v>1268</v>
      </c>
      <c r="E306" s="43">
        <v>46125</v>
      </c>
      <c r="F306" s="26" t="s">
        <v>55</v>
      </c>
      <c r="G306" s="26" t="s">
        <v>56</v>
      </c>
      <c r="H306" s="26" t="s">
        <v>57</v>
      </c>
      <c r="I306" s="26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43">
        <v>46193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1871</v>
      </c>
      <c r="C307" s="25" t="s">
        <v>1872</v>
      </c>
      <c r="D307" s="23" t="s">
        <v>1268</v>
      </c>
      <c r="E307" s="43">
        <v>46125</v>
      </c>
      <c r="F307" s="26" t="s">
        <v>55</v>
      </c>
      <c r="G307" s="26" t="s">
        <v>56</v>
      </c>
      <c r="H307" s="26" t="s">
        <v>57</v>
      </c>
      <c r="I307" s="26" t="s">
        <v>58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43">
        <v>46193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1873</v>
      </c>
      <c r="C308" s="41" t="s">
        <v>1874</v>
      </c>
      <c r="D308" s="39" t="s">
        <v>1268</v>
      </c>
      <c r="E308" s="43">
        <v>46125</v>
      </c>
      <c r="F308" s="26" t="s">
        <v>55</v>
      </c>
      <c r="G308" s="26" t="s">
        <v>56</v>
      </c>
      <c r="H308" s="26" t="s">
        <v>57</v>
      </c>
      <c r="I308" s="26" t="s">
        <v>58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43">
        <v>46193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1875</v>
      </c>
      <c r="C309" s="25" t="s">
        <v>1876</v>
      </c>
      <c r="D309" s="23" t="s">
        <v>1268</v>
      </c>
      <c r="E309" s="43">
        <v>46125</v>
      </c>
      <c r="F309" s="26" t="s">
        <v>55</v>
      </c>
      <c r="G309" s="26" t="s">
        <v>56</v>
      </c>
      <c r="H309" s="26" t="s">
        <v>57</v>
      </c>
      <c r="I309" s="26" t="s">
        <v>58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43">
        <v>46193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1877</v>
      </c>
      <c r="C310" s="41" t="s">
        <v>1878</v>
      </c>
      <c r="D310" s="39" t="s">
        <v>1268</v>
      </c>
      <c r="E310" s="43">
        <v>46125</v>
      </c>
      <c r="F310" s="26" t="s">
        <v>55</v>
      </c>
      <c r="G310" s="26" t="s">
        <v>56</v>
      </c>
      <c r="H310" s="26" t="s">
        <v>57</v>
      </c>
      <c r="I310" s="26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43">
        <v>46193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1879</v>
      </c>
      <c r="C311" s="25" t="s">
        <v>1880</v>
      </c>
      <c r="D311" s="23" t="s">
        <v>1268</v>
      </c>
      <c r="E311" s="43">
        <v>46125</v>
      </c>
      <c r="F311" s="26" t="s">
        <v>55</v>
      </c>
      <c r="G311" s="26" t="s">
        <v>56</v>
      </c>
      <c r="H311" s="26" t="s">
        <v>57</v>
      </c>
      <c r="I311" s="26" t="s">
        <v>58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43">
        <v>46193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1881</v>
      </c>
      <c r="C312" s="41" t="s">
        <v>1882</v>
      </c>
      <c r="D312" s="39" t="s">
        <v>1268</v>
      </c>
      <c r="E312" s="43">
        <v>46125</v>
      </c>
      <c r="F312" s="26" t="s">
        <v>55</v>
      </c>
      <c r="G312" s="26" t="s">
        <v>56</v>
      </c>
      <c r="H312" s="26" t="s">
        <v>57</v>
      </c>
      <c r="I312" s="26" t="s">
        <v>58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43">
        <v>46193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1883</v>
      </c>
      <c r="C313" s="25" t="s">
        <v>1884</v>
      </c>
      <c r="D313" s="23" t="s">
        <v>1268</v>
      </c>
      <c r="E313" s="43">
        <v>46125</v>
      </c>
      <c r="F313" s="26" t="s">
        <v>55</v>
      </c>
      <c r="G313" s="26" t="s">
        <v>56</v>
      </c>
      <c r="H313" s="26" t="s">
        <v>57</v>
      </c>
      <c r="I313" s="26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43">
        <v>46193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1885</v>
      </c>
      <c r="C314" s="41" t="s">
        <v>1886</v>
      </c>
      <c r="D314" s="39" t="s">
        <v>1268</v>
      </c>
      <c r="E314" s="43">
        <v>46125</v>
      </c>
      <c r="F314" s="26" t="s">
        <v>55</v>
      </c>
      <c r="G314" s="26" t="s">
        <v>56</v>
      </c>
      <c r="H314" s="26" t="s">
        <v>57</v>
      </c>
      <c r="I314" s="26" t="s">
        <v>58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43">
        <v>46193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1887</v>
      </c>
      <c r="C315" s="25" t="s">
        <v>1888</v>
      </c>
      <c r="D315" s="23" t="s">
        <v>1268</v>
      </c>
      <c r="E315" s="43">
        <v>46125</v>
      </c>
      <c r="F315" s="26" t="s">
        <v>55</v>
      </c>
      <c r="G315" s="26" t="s">
        <v>56</v>
      </c>
      <c r="H315" s="26" t="s">
        <v>57</v>
      </c>
      <c r="I315" s="26" t="s">
        <v>58</v>
      </c>
      <c r="J315" s="26" t="s">
        <v>56</v>
      </c>
      <c r="K315" s="27"/>
      <c r="L315" s="28" t="s">
        <v>57</v>
      </c>
      <c r="M315" s="29" t="str">
        <f t="shared" si="20"/>
        <v>✓ OK</v>
      </c>
      <c r="N315" s="43">
        <v>46193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1889</v>
      </c>
      <c r="C316" s="41" t="s">
        <v>1890</v>
      </c>
      <c r="D316" s="39" t="s">
        <v>1268</v>
      </c>
      <c r="E316" s="43">
        <v>46125</v>
      </c>
      <c r="F316" s="26" t="s">
        <v>55</v>
      </c>
      <c r="G316" s="26" t="s">
        <v>56</v>
      </c>
      <c r="H316" s="26" t="s">
        <v>57</v>
      </c>
      <c r="I316" s="26" t="s">
        <v>58</v>
      </c>
      <c r="J316" s="26" t="s">
        <v>56</v>
      </c>
      <c r="K316" s="27"/>
      <c r="L316" s="28" t="s">
        <v>57</v>
      </c>
      <c r="M316" s="29" t="str">
        <f t="shared" si="20"/>
        <v>✓ OK</v>
      </c>
      <c r="N316" s="43">
        <v>46193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1891</v>
      </c>
      <c r="C317" s="25" t="s">
        <v>1892</v>
      </c>
      <c r="D317" s="23" t="s">
        <v>1268</v>
      </c>
      <c r="E317" s="43">
        <v>46125</v>
      </c>
      <c r="F317" s="26" t="s">
        <v>55</v>
      </c>
      <c r="G317" s="26" t="s">
        <v>56</v>
      </c>
      <c r="H317" s="26" t="s">
        <v>57</v>
      </c>
      <c r="I317" s="26" t="s">
        <v>58</v>
      </c>
      <c r="J317" s="26" t="s">
        <v>56</v>
      </c>
      <c r="K317" s="27"/>
      <c r="L317" s="28" t="s">
        <v>57</v>
      </c>
      <c r="M317" s="29" t="str">
        <f t="shared" si="20"/>
        <v>✓ OK</v>
      </c>
      <c r="N317" s="43">
        <v>46193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1893</v>
      </c>
      <c r="C318" s="41" t="s">
        <v>1894</v>
      </c>
      <c r="D318" s="39" t="s">
        <v>1268</v>
      </c>
      <c r="E318" s="43">
        <v>46125</v>
      </c>
      <c r="F318" s="26" t="s">
        <v>55</v>
      </c>
      <c r="G318" s="26" t="s">
        <v>56</v>
      </c>
      <c r="H318" s="26" t="s">
        <v>57</v>
      </c>
      <c r="I318" s="26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43">
        <v>46193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1895</v>
      </c>
      <c r="C319" s="25" t="s">
        <v>1896</v>
      </c>
      <c r="D319" s="23" t="s">
        <v>1268</v>
      </c>
      <c r="E319" s="43">
        <v>46125</v>
      </c>
      <c r="F319" s="26" t="s">
        <v>55</v>
      </c>
      <c r="G319" s="26" t="s">
        <v>56</v>
      </c>
      <c r="H319" s="26" t="s">
        <v>57</v>
      </c>
      <c r="I319" s="26" t="s">
        <v>58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43">
        <v>46193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1897</v>
      </c>
      <c r="C320" s="41" t="s">
        <v>1898</v>
      </c>
      <c r="D320" s="39" t="s">
        <v>1268</v>
      </c>
      <c r="E320" s="43">
        <v>46125</v>
      </c>
      <c r="F320" s="26" t="s">
        <v>55</v>
      </c>
      <c r="G320" s="26" t="s">
        <v>56</v>
      </c>
      <c r="H320" s="26" t="s">
        <v>57</v>
      </c>
      <c r="I320" s="26" t="s">
        <v>58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43">
        <v>46193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1899</v>
      </c>
      <c r="C321" s="25" t="s">
        <v>1900</v>
      </c>
      <c r="D321" s="23" t="s">
        <v>1268</v>
      </c>
      <c r="E321" s="43">
        <v>46125</v>
      </c>
      <c r="F321" s="26" t="s">
        <v>55</v>
      </c>
      <c r="G321" s="26" t="s">
        <v>56</v>
      </c>
      <c r="H321" s="26" t="s">
        <v>57</v>
      </c>
      <c r="I321" s="26" t="s">
        <v>58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43">
        <v>46193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1901</v>
      </c>
      <c r="C322" s="41" t="s">
        <v>1902</v>
      </c>
      <c r="D322" s="39" t="s">
        <v>1268</v>
      </c>
      <c r="E322" s="43">
        <v>46125</v>
      </c>
      <c r="F322" s="26" t="s">
        <v>55</v>
      </c>
      <c r="G322" s="26" t="s">
        <v>56</v>
      </c>
      <c r="H322" s="26" t="s">
        <v>57</v>
      </c>
      <c r="I322" s="26" t="s">
        <v>58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43">
        <v>46193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1903</v>
      </c>
      <c r="C323" s="25" t="s">
        <v>1904</v>
      </c>
      <c r="D323" s="23" t="s">
        <v>1268</v>
      </c>
      <c r="E323" s="43">
        <v>46125</v>
      </c>
      <c r="F323" s="26" t="s">
        <v>55</v>
      </c>
      <c r="G323" s="26" t="s">
        <v>56</v>
      </c>
      <c r="H323" s="26" t="s">
        <v>57</v>
      </c>
      <c r="I323" s="26" t="s">
        <v>58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43">
        <v>46193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1905</v>
      </c>
      <c r="C324" s="41" t="s">
        <v>1906</v>
      </c>
      <c r="D324" s="39" t="s">
        <v>1268</v>
      </c>
      <c r="E324" s="43">
        <v>46125</v>
      </c>
      <c r="F324" s="26" t="s">
        <v>55</v>
      </c>
      <c r="G324" s="26" t="s">
        <v>56</v>
      </c>
      <c r="H324" s="26" t="s">
        <v>57</v>
      </c>
      <c r="I324" s="26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43">
        <v>46193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1907</v>
      </c>
      <c r="C325" s="25" t="s">
        <v>1908</v>
      </c>
      <c r="D325" s="23" t="s">
        <v>1268</v>
      </c>
      <c r="E325" s="43">
        <v>46125</v>
      </c>
      <c r="F325" s="26" t="s">
        <v>55</v>
      </c>
      <c r="G325" s="26" t="s">
        <v>56</v>
      </c>
      <c r="H325" s="26" t="s">
        <v>57</v>
      </c>
      <c r="I325" s="26" t="s">
        <v>58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43">
        <v>46193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1909</v>
      </c>
      <c r="C326" s="41" t="s">
        <v>1910</v>
      </c>
      <c r="D326" s="39" t="s">
        <v>1268</v>
      </c>
      <c r="E326" s="43">
        <v>46125</v>
      </c>
      <c r="F326" s="26" t="s">
        <v>55</v>
      </c>
      <c r="G326" s="26" t="s">
        <v>56</v>
      </c>
      <c r="H326" s="26" t="s">
        <v>57</v>
      </c>
      <c r="I326" s="26" t="s">
        <v>58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43">
        <v>46193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1911</v>
      </c>
      <c r="C327" s="25" t="s">
        <v>1912</v>
      </c>
      <c r="D327" s="23" t="s">
        <v>1268</v>
      </c>
      <c r="E327" s="43">
        <v>46125</v>
      </c>
      <c r="F327" s="26" t="s">
        <v>55</v>
      </c>
      <c r="G327" s="26" t="s">
        <v>56</v>
      </c>
      <c r="H327" s="26" t="s">
        <v>57</v>
      </c>
      <c r="I327" s="26" t="s">
        <v>58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43">
        <v>46193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1913</v>
      </c>
      <c r="C328" s="41" t="s">
        <v>1914</v>
      </c>
      <c r="D328" s="39" t="s">
        <v>1268</v>
      </c>
      <c r="E328" s="43">
        <v>46125</v>
      </c>
      <c r="F328" s="26" t="s">
        <v>55</v>
      </c>
      <c r="G328" s="26" t="s">
        <v>56</v>
      </c>
      <c r="H328" s="26" t="s">
        <v>57</v>
      </c>
      <c r="I328" s="26" t="s">
        <v>58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43">
        <v>46193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1915</v>
      </c>
      <c r="C329" s="25" t="s">
        <v>1916</v>
      </c>
      <c r="D329" s="23" t="s">
        <v>1268</v>
      </c>
      <c r="E329" s="43">
        <v>46125</v>
      </c>
      <c r="F329" s="26" t="s">
        <v>55</v>
      </c>
      <c r="G329" s="26" t="s">
        <v>56</v>
      </c>
      <c r="H329" s="26" t="s">
        <v>57</v>
      </c>
      <c r="I329" s="26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43">
        <v>46193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1917</v>
      </c>
      <c r="C330" s="41" t="s">
        <v>1918</v>
      </c>
      <c r="D330" s="39" t="s">
        <v>1268</v>
      </c>
      <c r="E330" s="43">
        <v>46125</v>
      </c>
      <c r="F330" s="26" t="s">
        <v>55</v>
      </c>
      <c r="G330" s="26" t="s">
        <v>56</v>
      </c>
      <c r="H330" s="26" t="s">
        <v>57</v>
      </c>
      <c r="I330" s="26" t="s">
        <v>58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43">
        <v>46193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1919</v>
      </c>
      <c r="C331" s="25" t="s">
        <v>1920</v>
      </c>
      <c r="D331" s="23" t="s">
        <v>1268</v>
      </c>
      <c r="E331" s="43">
        <v>46125</v>
      </c>
      <c r="F331" s="26" t="s">
        <v>55</v>
      </c>
      <c r="G331" s="26" t="s">
        <v>56</v>
      </c>
      <c r="H331" s="26" t="s">
        <v>57</v>
      </c>
      <c r="I331" s="26" t="s">
        <v>58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43">
        <v>46193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1921</v>
      </c>
      <c r="C332" s="41" t="s">
        <v>1922</v>
      </c>
      <c r="D332" s="39" t="s">
        <v>1268</v>
      </c>
      <c r="E332" s="43">
        <v>46125</v>
      </c>
      <c r="F332" s="26" t="s">
        <v>55</v>
      </c>
      <c r="G332" s="26" t="s">
        <v>56</v>
      </c>
      <c r="H332" s="26" t="s">
        <v>57</v>
      </c>
      <c r="I332" s="26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43">
        <v>46193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1923</v>
      </c>
      <c r="C333" s="25" t="s">
        <v>1924</v>
      </c>
      <c r="D333" s="23" t="s">
        <v>1268</v>
      </c>
      <c r="E333" s="43">
        <v>46125</v>
      </c>
      <c r="F333" s="26" t="s">
        <v>55</v>
      </c>
      <c r="G333" s="26" t="s">
        <v>56</v>
      </c>
      <c r="H333" s="26" t="s">
        <v>57</v>
      </c>
      <c r="I333" s="26" t="s">
        <v>58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43">
        <v>46193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1925</v>
      </c>
      <c r="C334" s="41" t="s">
        <v>1926</v>
      </c>
      <c r="D334" s="39" t="s">
        <v>1268</v>
      </c>
      <c r="E334" s="43">
        <v>46125</v>
      </c>
      <c r="F334" s="26" t="s">
        <v>55</v>
      </c>
      <c r="G334" s="26" t="s">
        <v>56</v>
      </c>
      <c r="H334" s="26" t="s">
        <v>57</v>
      </c>
      <c r="I334" s="26" t="s">
        <v>58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43">
        <v>46193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1927</v>
      </c>
      <c r="C335" s="25" t="s">
        <v>1928</v>
      </c>
      <c r="D335" s="23" t="s">
        <v>1268</v>
      </c>
      <c r="E335" s="43">
        <v>46125</v>
      </c>
      <c r="F335" s="26" t="s">
        <v>55</v>
      </c>
      <c r="G335" s="26" t="s">
        <v>56</v>
      </c>
      <c r="H335" s="26" t="s">
        <v>57</v>
      </c>
      <c r="I335" s="26" t="s">
        <v>58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43">
        <v>46193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1929</v>
      </c>
      <c r="C336" s="41" t="s">
        <v>1930</v>
      </c>
      <c r="D336" s="39" t="s">
        <v>1268</v>
      </c>
      <c r="E336" s="43">
        <v>46125</v>
      </c>
      <c r="F336" s="26" t="s">
        <v>55</v>
      </c>
      <c r="G336" s="26" t="s">
        <v>56</v>
      </c>
      <c r="H336" s="26" t="s">
        <v>57</v>
      </c>
      <c r="I336" s="26" t="s">
        <v>58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43">
        <v>46193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1931</v>
      </c>
      <c r="C337" s="25" t="s">
        <v>1932</v>
      </c>
      <c r="D337" s="23" t="s">
        <v>1268</v>
      </c>
      <c r="E337" s="43">
        <v>46125</v>
      </c>
      <c r="F337" s="26" t="s">
        <v>55</v>
      </c>
      <c r="G337" s="26" t="s">
        <v>56</v>
      </c>
      <c r="H337" s="26" t="s">
        <v>57</v>
      </c>
      <c r="I337" s="26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43">
        <v>46193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1933</v>
      </c>
      <c r="C338" s="41" t="s">
        <v>1934</v>
      </c>
      <c r="D338" s="39" t="s">
        <v>1268</v>
      </c>
      <c r="E338" s="43">
        <v>46125</v>
      </c>
      <c r="F338" s="26" t="s">
        <v>55</v>
      </c>
      <c r="G338" s="26" t="s">
        <v>56</v>
      </c>
      <c r="H338" s="26" t="s">
        <v>57</v>
      </c>
      <c r="I338" s="26" t="s">
        <v>58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43">
        <v>46193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1935</v>
      </c>
      <c r="C339" s="25" t="s">
        <v>1936</v>
      </c>
      <c r="D339" s="23" t="s">
        <v>1268</v>
      </c>
      <c r="E339" s="43">
        <v>46125</v>
      </c>
      <c r="F339" s="26" t="s">
        <v>55</v>
      </c>
      <c r="G339" s="26" t="s">
        <v>56</v>
      </c>
      <c r="H339" s="26" t="s">
        <v>57</v>
      </c>
      <c r="I339" s="26" t="s">
        <v>58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43">
        <v>46193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1937</v>
      </c>
      <c r="C340" s="41" t="s">
        <v>1938</v>
      </c>
      <c r="D340" s="39" t="s">
        <v>1268</v>
      </c>
      <c r="E340" s="43">
        <v>46125</v>
      </c>
      <c r="F340" s="26" t="s">
        <v>55</v>
      </c>
      <c r="G340" s="26" t="s">
        <v>56</v>
      </c>
      <c r="H340" s="26" t="s">
        <v>57</v>
      </c>
      <c r="I340" s="26" t="s">
        <v>58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43">
        <v>46193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1939</v>
      </c>
      <c r="C341" s="25" t="s">
        <v>1940</v>
      </c>
      <c r="D341" s="23" t="s">
        <v>1268</v>
      </c>
      <c r="E341" s="43">
        <v>46125</v>
      </c>
      <c r="F341" s="26" t="s">
        <v>55</v>
      </c>
      <c r="G341" s="26" t="s">
        <v>56</v>
      </c>
      <c r="H341" s="26" t="s">
        <v>57</v>
      </c>
      <c r="I341" s="26" t="s">
        <v>58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43">
        <v>46193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1941</v>
      </c>
      <c r="C342" s="41" t="s">
        <v>1942</v>
      </c>
      <c r="D342" s="39" t="s">
        <v>1268</v>
      </c>
      <c r="E342" s="43">
        <v>46125</v>
      </c>
      <c r="F342" s="26" t="s">
        <v>55</v>
      </c>
      <c r="G342" s="26" t="s">
        <v>56</v>
      </c>
      <c r="H342" s="26" t="s">
        <v>57</v>
      </c>
      <c r="I342" s="26" t="s">
        <v>58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43">
        <v>46193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1943</v>
      </c>
      <c r="C343" s="25" t="s">
        <v>1944</v>
      </c>
      <c r="D343" s="23" t="s">
        <v>1268</v>
      </c>
      <c r="E343" s="43">
        <v>46125</v>
      </c>
      <c r="F343" s="26" t="s">
        <v>55</v>
      </c>
      <c r="G343" s="26" t="s">
        <v>56</v>
      </c>
      <c r="H343" s="26" t="s">
        <v>57</v>
      </c>
      <c r="I343" s="26" t="s">
        <v>58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43">
        <v>46193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1945</v>
      </c>
      <c r="C344" s="41" t="s">
        <v>1946</v>
      </c>
      <c r="D344" s="39" t="s">
        <v>1268</v>
      </c>
      <c r="E344" s="43">
        <v>46125</v>
      </c>
      <c r="F344" s="26" t="s">
        <v>55</v>
      </c>
      <c r="G344" s="26" t="s">
        <v>56</v>
      </c>
      <c r="H344" s="26" t="s">
        <v>57</v>
      </c>
      <c r="I344" s="26" t="s">
        <v>58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43">
        <v>46193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1947</v>
      </c>
      <c r="C345" s="25" t="s">
        <v>1948</v>
      </c>
      <c r="D345" s="23" t="s">
        <v>1268</v>
      </c>
      <c r="E345" s="43">
        <v>46125</v>
      </c>
      <c r="F345" s="26" t="s">
        <v>55</v>
      </c>
      <c r="G345" s="26" t="s">
        <v>56</v>
      </c>
      <c r="H345" s="26" t="s">
        <v>57</v>
      </c>
      <c r="I345" s="26" t="s">
        <v>58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43">
        <v>46193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1949</v>
      </c>
      <c r="C346" s="41" t="s">
        <v>1950</v>
      </c>
      <c r="D346" s="39" t="s">
        <v>1268</v>
      </c>
      <c r="E346" s="43">
        <v>46125</v>
      </c>
      <c r="F346" s="26" t="s">
        <v>55</v>
      </c>
      <c r="G346" s="26" t="s">
        <v>56</v>
      </c>
      <c r="H346" s="26" t="s">
        <v>57</v>
      </c>
      <c r="I346" s="26" t="s">
        <v>58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43">
        <v>46193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1951</v>
      </c>
      <c r="C347" s="25" t="s">
        <v>1952</v>
      </c>
      <c r="D347" s="23" t="s">
        <v>1268</v>
      </c>
      <c r="E347" s="43">
        <v>46125</v>
      </c>
      <c r="F347" s="26" t="s">
        <v>55</v>
      </c>
      <c r="G347" s="26" t="s">
        <v>56</v>
      </c>
      <c r="H347" s="26" t="s">
        <v>57</v>
      </c>
      <c r="I347" s="26" t="s">
        <v>58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43">
        <v>46193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1953</v>
      </c>
      <c r="C348" s="41" t="s">
        <v>1954</v>
      </c>
      <c r="D348" s="39" t="s">
        <v>1268</v>
      </c>
      <c r="E348" s="43">
        <v>46125</v>
      </c>
      <c r="F348" s="26" t="s">
        <v>55</v>
      </c>
      <c r="G348" s="26" t="s">
        <v>56</v>
      </c>
      <c r="H348" s="26" t="s">
        <v>57</v>
      </c>
      <c r="I348" s="26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43">
        <v>46193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1955</v>
      </c>
      <c r="C349" s="25" t="s">
        <v>1956</v>
      </c>
      <c r="D349" s="23" t="s">
        <v>1268</v>
      </c>
      <c r="E349" s="43">
        <v>46125</v>
      </c>
      <c r="F349" s="26" t="s">
        <v>55</v>
      </c>
      <c r="G349" s="26" t="s">
        <v>56</v>
      </c>
      <c r="H349" s="26" t="s">
        <v>57</v>
      </c>
      <c r="I349" s="26" t="s">
        <v>58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43">
        <v>46193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1957</v>
      </c>
      <c r="C350" s="41" t="s">
        <v>1958</v>
      </c>
      <c r="D350" s="39" t="s">
        <v>1268</v>
      </c>
      <c r="E350" s="43">
        <v>46125</v>
      </c>
      <c r="F350" s="26" t="s">
        <v>55</v>
      </c>
      <c r="G350" s="26" t="s">
        <v>56</v>
      </c>
      <c r="H350" s="26" t="s">
        <v>57</v>
      </c>
      <c r="I350" s="26" t="s">
        <v>58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43">
        <v>46193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1959</v>
      </c>
      <c r="C351" s="25" t="s">
        <v>1960</v>
      </c>
      <c r="D351" s="23" t="s">
        <v>1268</v>
      </c>
      <c r="E351" s="43">
        <v>46125</v>
      </c>
      <c r="F351" s="26" t="s">
        <v>55</v>
      </c>
      <c r="G351" s="26" t="s">
        <v>56</v>
      </c>
      <c r="H351" s="26" t="s">
        <v>57</v>
      </c>
      <c r="I351" s="26" t="s">
        <v>58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43">
        <v>46193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1961</v>
      </c>
      <c r="C352" s="41" t="s">
        <v>1962</v>
      </c>
      <c r="D352" s="39" t="s">
        <v>1268</v>
      </c>
      <c r="E352" s="43">
        <v>46125</v>
      </c>
      <c r="F352" s="26" t="s">
        <v>55</v>
      </c>
      <c r="G352" s="26" t="s">
        <v>56</v>
      </c>
      <c r="H352" s="26" t="s">
        <v>57</v>
      </c>
      <c r="I352" s="26" t="s">
        <v>58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43">
        <v>46193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1963</v>
      </c>
      <c r="C353" s="25" t="s">
        <v>1964</v>
      </c>
      <c r="D353" s="23" t="s">
        <v>1268</v>
      </c>
      <c r="E353" s="43">
        <v>46125</v>
      </c>
      <c r="F353" s="26" t="s">
        <v>55</v>
      </c>
      <c r="G353" s="26" t="s">
        <v>56</v>
      </c>
      <c r="H353" s="26" t="s">
        <v>57</v>
      </c>
      <c r="I353" s="26" t="s">
        <v>58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43">
        <v>46193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1965</v>
      </c>
      <c r="C354" s="41" t="s">
        <v>1966</v>
      </c>
      <c r="D354" s="39" t="s">
        <v>1268</v>
      </c>
      <c r="E354" s="43">
        <v>46125</v>
      </c>
      <c r="F354" s="26" t="s">
        <v>55</v>
      </c>
      <c r="G354" s="26" t="s">
        <v>56</v>
      </c>
      <c r="H354" s="26" t="s">
        <v>57</v>
      </c>
      <c r="I354" s="26" t="s">
        <v>58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43">
        <v>46193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1967</v>
      </c>
      <c r="C355" s="25" t="s">
        <v>1968</v>
      </c>
      <c r="D355" s="23" t="s">
        <v>1268</v>
      </c>
      <c r="E355" s="43">
        <v>46125</v>
      </c>
      <c r="F355" s="26" t="s">
        <v>55</v>
      </c>
      <c r="G355" s="26" t="s">
        <v>56</v>
      </c>
      <c r="H355" s="26" t="s">
        <v>57</v>
      </c>
      <c r="I355" s="26" t="s">
        <v>58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43">
        <v>46193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1969</v>
      </c>
      <c r="C356" s="41" t="s">
        <v>1970</v>
      </c>
      <c r="D356" s="39" t="s">
        <v>1268</v>
      </c>
      <c r="E356" s="43">
        <v>46125</v>
      </c>
      <c r="F356" s="26" t="s">
        <v>55</v>
      </c>
      <c r="G356" s="26" t="s">
        <v>56</v>
      </c>
      <c r="H356" s="26" t="s">
        <v>57</v>
      </c>
      <c r="I356" s="26" t="s">
        <v>58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43">
        <v>46193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1971</v>
      </c>
      <c r="C357" s="25" t="s">
        <v>1972</v>
      </c>
      <c r="D357" s="23" t="s">
        <v>1268</v>
      </c>
      <c r="E357" s="43">
        <v>46125</v>
      </c>
      <c r="F357" s="26" t="s">
        <v>55</v>
      </c>
      <c r="G357" s="26" t="s">
        <v>56</v>
      </c>
      <c r="H357" s="26" t="s">
        <v>57</v>
      </c>
      <c r="I357" s="26" t="s">
        <v>58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43">
        <v>46193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1973</v>
      </c>
      <c r="C358" s="41" t="s">
        <v>1974</v>
      </c>
      <c r="D358" s="39" t="s">
        <v>1268</v>
      </c>
      <c r="E358" s="43">
        <v>46125</v>
      </c>
      <c r="F358" s="26" t="s">
        <v>55</v>
      </c>
      <c r="G358" s="26" t="s">
        <v>56</v>
      </c>
      <c r="H358" s="26" t="s">
        <v>57</v>
      </c>
      <c r="I358" s="26" t="s">
        <v>58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43">
        <v>46193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1975</v>
      </c>
      <c r="C359" s="25" t="s">
        <v>1976</v>
      </c>
      <c r="D359" s="23" t="s">
        <v>1268</v>
      </c>
      <c r="E359" s="43">
        <v>46125</v>
      </c>
      <c r="F359" s="26" t="s">
        <v>55</v>
      </c>
      <c r="G359" s="26" t="s">
        <v>56</v>
      </c>
      <c r="H359" s="26" t="s">
        <v>57</v>
      </c>
      <c r="I359" s="26" t="s">
        <v>58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43">
        <v>46193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1977</v>
      </c>
      <c r="C360" s="41" t="s">
        <v>1978</v>
      </c>
      <c r="D360" s="39" t="s">
        <v>1268</v>
      </c>
      <c r="E360" s="43">
        <v>46125</v>
      </c>
      <c r="F360" s="26" t="s">
        <v>55</v>
      </c>
      <c r="G360" s="26" t="s">
        <v>56</v>
      </c>
      <c r="H360" s="26" t="s">
        <v>57</v>
      </c>
      <c r="I360" s="26" t="s">
        <v>58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43">
        <v>46193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1979</v>
      </c>
      <c r="C361" s="25" t="s">
        <v>1980</v>
      </c>
      <c r="D361" s="23" t="s">
        <v>1268</v>
      </c>
      <c r="E361" s="43">
        <v>46125</v>
      </c>
      <c r="F361" s="26" t="s">
        <v>55</v>
      </c>
      <c r="G361" s="26" t="s">
        <v>56</v>
      </c>
      <c r="H361" s="26" t="s">
        <v>57</v>
      </c>
      <c r="I361" s="26" t="s">
        <v>58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43">
        <v>46193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1981</v>
      </c>
      <c r="C362" s="41" t="s">
        <v>1982</v>
      </c>
      <c r="D362" s="39" t="s">
        <v>1268</v>
      </c>
      <c r="E362" s="43">
        <v>46125</v>
      </c>
      <c r="F362" s="26" t="s">
        <v>55</v>
      </c>
      <c r="G362" s="26" t="s">
        <v>56</v>
      </c>
      <c r="H362" s="26" t="s">
        <v>57</v>
      </c>
      <c r="I362" s="26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43">
        <v>46193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1983</v>
      </c>
      <c r="C363" s="25" t="s">
        <v>1984</v>
      </c>
      <c r="D363" s="23" t="s">
        <v>1268</v>
      </c>
      <c r="E363" s="43">
        <v>46125</v>
      </c>
      <c r="F363" s="26" t="s">
        <v>55</v>
      </c>
      <c r="G363" s="26" t="s">
        <v>56</v>
      </c>
      <c r="H363" s="26" t="s">
        <v>57</v>
      </c>
      <c r="I363" s="26" t="s">
        <v>58</v>
      </c>
      <c r="J363" s="26" t="s">
        <v>56</v>
      </c>
      <c r="K363" s="27"/>
      <c r="L363" s="28" t="s">
        <v>57</v>
      </c>
      <c r="M363" s="29" t="str">
        <f t="shared" si="25"/>
        <v>✓ OK</v>
      </c>
      <c r="N363" s="43">
        <v>46193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1985</v>
      </c>
      <c r="C364" s="41" t="s">
        <v>1986</v>
      </c>
      <c r="D364" s="39" t="s">
        <v>1268</v>
      </c>
      <c r="E364" s="43">
        <v>46125</v>
      </c>
      <c r="F364" s="26" t="s">
        <v>55</v>
      </c>
      <c r="G364" s="26" t="s">
        <v>56</v>
      </c>
      <c r="H364" s="26" t="s">
        <v>57</v>
      </c>
      <c r="I364" s="26" t="s">
        <v>58</v>
      </c>
      <c r="J364" s="26" t="s">
        <v>56</v>
      </c>
      <c r="K364" s="27"/>
      <c r="L364" s="28" t="s">
        <v>57</v>
      </c>
      <c r="M364" s="29" t="str">
        <f t="shared" si="25"/>
        <v>✓ OK</v>
      </c>
      <c r="N364" s="43">
        <v>46193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1987</v>
      </c>
      <c r="C365" s="25" t="s">
        <v>1988</v>
      </c>
      <c r="D365" s="23" t="s">
        <v>1268</v>
      </c>
      <c r="E365" s="43">
        <v>46125</v>
      </c>
      <c r="F365" s="26" t="s">
        <v>55</v>
      </c>
      <c r="G365" s="26" t="s">
        <v>56</v>
      </c>
      <c r="H365" s="26" t="s">
        <v>57</v>
      </c>
      <c r="I365" s="26" t="s">
        <v>58</v>
      </c>
      <c r="J365" s="26" t="s">
        <v>56</v>
      </c>
      <c r="K365" s="27"/>
      <c r="L365" s="28" t="s">
        <v>57</v>
      </c>
      <c r="M365" s="29" t="str">
        <f t="shared" si="25"/>
        <v>✓ OK</v>
      </c>
      <c r="N365" s="43">
        <v>46193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1989</v>
      </c>
      <c r="C366" s="41" t="s">
        <v>1990</v>
      </c>
      <c r="D366" s="39" t="s">
        <v>1268</v>
      </c>
      <c r="E366" s="43">
        <v>46125</v>
      </c>
      <c r="F366" s="26" t="s">
        <v>55</v>
      </c>
      <c r="G366" s="26" t="s">
        <v>56</v>
      </c>
      <c r="H366" s="26" t="s">
        <v>57</v>
      </c>
      <c r="I366" s="26" t="s">
        <v>58</v>
      </c>
      <c r="J366" s="26" t="s">
        <v>56</v>
      </c>
      <c r="K366" s="27"/>
      <c r="L366" s="28" t="s">
        <v>57</v>
      </c>
      <c r="M366" s="29" t="str">
        <f t="shared" si="25"/>
        <v>✓ OK</v>
      </c>
      <c r="N366" s="43">
        <v>46193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1991</v>
      </c>
      <c r="C367" s="25" t="s">
        <v>1992</v>
      </c>
      <c r="D367" s="23" t="s">
        <v>1268</v>
      </c>
      <c r="E367" s="43">
        <v>46125</v>
      </c>
      <c r="F367" s="26" t="s">
        <v>55</v>
      </c>
      <c r="G367" s="26" t="s">
        <v>56</v>
      </c>
      <c r="H367" s="26" t="s">
        <v>57</v>
      </c>
      <c r="I367" s="26" t="s">
        <v>58</v>
      </c>
      <c r="J367" s="26" t="s">
        <v>56</v>
      </c>
      <c r="K367" s="27"/>
      <c r="L367" s="28" t="s">
        <v>57</v>
      </c>
      <c r="M367" s="29" t="str">
        <f t="shared" si="25"/>
        <v>✓ OK</v>
      </c>
      <c r="N367" s="43">
        <v>46193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1993</v>
      </c>
      <c r="C368" s="41" t="s">
        <v>1994</v>
      </c>
      <c r="D368" s="39" t="s">
        <v>1268</v>
      </c>
      <c r="E368" s="43">
        <v>46125</v>
      </c>
      <c r="F368" s="26" t="s">
        <v>55</v>
      </c>
      <c r="G368" s="26" t="s">
        <v>56</v>
      </c>
      <c r="H368" s="26" t="s">
        <v>57</v>
      </c>
      <c r="I368" s="26" t="s">
        <v>58</v>
      </c>
      <c r="J368" s="26" t="s">
        <v>56</v>
      </c>
      <c r="K368" s="27"/>
      <c r="L368" s="28" t="s">
        <v>57</v>
      </c>
      <c r="M368" s="29" t="str">
        <f t="shared" si="25"/>
        <v>✓ OK</v>
      </c>
      <c r="N368" s="43">
        <v>46193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1995</v>
      </c>
      <c r="C369" s="25" t="s">
        <v>1996</v>
      </c>
      <c r="D369" s="23" t="s">
        <v>1268</v>
      </c>
      <c r="E369" s="43">
        <v>46125</v>
      </c>
      <c r="F369" s="26" t="s">
        <v>55</v>
      </c>
      <c r="G369" s="26" t="s">
        <v>56</v>
      </c>
      <c r="H369" s="26" t="s">
        <v>57</v>
      </c>
      <c r="I369" s="26" t="s">
        <v>58</v>
      </c>
      <c r="J369" s="26" t="s">
        <v>56</v>
      </c>
      <c r="K369" s="27"/>
      <c r="L369" s="28" t="s">
        <v>57</v>
      </c>
      <c r="M369" s="29" t="str">
        <f t="shared" si="25"/>
        <v>✓ OK</v>
      </c>
      <c r="N369" s="43">
        <v>46193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1997</v>
      </c>
      <c r="C370" s="41" t="s">
        <v>1998</v>
      </c>
      <c r="D370" s="39" t="s">
        <v>1268</v>
      </c>
      <c r="E370" s="43">
        <v>46125</v>
      </c>
      <c r="F370" s="26" t="s">
        <v>55</v>
      </c>
      <c r="G370" s="26" t="s">
        <v>56</v>
      </c>
      <c r="H370" s="26" t="s">
        <v>57</v>
      </c>
      <c r="I370" s="26" t="s">
        <v>58</v>
      </c>
      <c r="J370" s="26" t="s">
        <v>56</v>
      </c>
      <c r="K370" s="27"/>
      <c r="L370" s="28" t="s">
        <v>57</v>
      </c>
      <c r="M370" s="29" t="str">
        <f t="shared" si="25"/>
        <v>✓ OK</v>
      </c>
      <c r="N370" s="43">
        <v>46193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1999</v>
      </c>
      <c r="C371" s="25" t="s">
        <v>2000</v>
      </c>
      <c r="D371" s="23" t="s">
        <v>1268</v>
      </c>
      <c r="E371" s="43">
        <v>46125</v>
      </c>
      <c r="F371" s="26" t="s">
        <v>55</v>
      </c>
      <c r="G371" s="26" t="s">
        <v>56</v>
      </c>
      <c r="H371" s="26" t="s">
        <v>57</v>
      </c>
      <c r="I371" s="26" t="s">
        <v>58</v>
      </c>
      <c r="J371" s="26" t="s">
        <v>56</v>
      </c>
      <c r="K371" s="27"/>
      <c r="L371" s="28" t="s">
        <v>57</v>
      </c>
      <c r="M371" s="29" t="str">
        <f t="shared" si="25"/>
        <v>✓ OK</v>
      </c>
      <c r="N371" s="43">
        <v>46193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2001</v>
      </c>
      <c r="C372" s="41" t="s">
        <v>2002</v>
      </c>
      <c r="D372" s="39" t="s">
        <v>1268</v>
      </c>
      <c r="E372" s="43">
        <v>46125</v>
      </c>
      <c r="F372" s="26" t="s">
        <v>55</v>
      </c>
      <c r="G372" s="26" t="s">
        <v>56</v>
      </c>
      <c r="H372" s="26" t="s">
        <v>57</v>
      </c>
      <c r="I372" s="26" t="s">
        <v>58</v>
      </c>
      <c r="J372" s="26" t="s">
        <v>56</v>
      </c>
      <c r="K372" s="27"/>
      <c r="L372" s="28" t="s">
        <v>57</v>
      </c>
      <c r="M372" s="29" t="str">
        <f t="shared" si="25"/>
        <v>✓ OK</v>
      </c>
      <c r="N372" s="43">
        <v>46193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2003</v>
      </c>
      <c r="C373" s="25" t="s">
        <v>2004</v>
      </c>
      <c r="D373" s="23" t="s">
        <v>1268</v>
      </c>
      <c r="E373" s="43">
        <v>46125</v>
      </c>
      <c r="F373" s="26" t="s">
        <v>55</v>
      </c>
      <c r="G373" s="26" t="s">
        <v>56</v>
      </c>
      <c r="H373" s="26" t="s">
        <v>57</v>
      </c>
      <c r="I373" s="26" t="s">
        <v>58</v>
      </c>
      <c r="J373" s="26" t="s">
        <v>56</v>
      </c>
      <c r="K373" s="27"/>
      <c r="L373" s="28" t="s">
        <v>57</v>
      </c>
      <c r="M373" s="29" t="str">
        <f t="shared" si="25"/>
        <v>✓ OK</v>
      </c>
      <c r="N373" s="43">
        <v>46193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2005</v>
      </c>
      <c r="C374" s="41" t="s">
        <v>2006</v>
      </c>
      <c r="D374" s="39" t="s">
        <v>1268</v>
      </c>
      <c r="E374" s="43">
        <v>46125</v>
      </c>
      <c r="F374" s="26" t="s">
        <v>55</v>
      </c>
      <c r="G374" s="26" t="s">
        <v>56</v>
      </c>
      <c r="H374" s="26" t="s">
        <v>57</v>
      </c>
      <c r="I374" s="26" t="s">
        <v>58</v>
      </c>
      <c r="J374" s="26" t="s">
        <v>56</v>
      </c>
      <c r="K374" s="27"/>
      <c r="L374" s="28" t="s">
        <v>57</v>
      </c>
      <c r="M374" s="29" t="str">
        <f t="shared" si="25"/>
        <v>✓ OK</v>
      </c>
      <c r="N374" s="43">
        <v>46193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2007</v>
      </c>
      <c r="C375" s="25" t="s">
        <v>2008</v>
      </c>
      <c r="D375" s="23" t="s">
        <v>1268</v>
      </c>
      <c r="E375" s="43">
        <v>46125</v>
      </c>
      <c r="F375" s="26" t="s">
        <v>55</v>
      </c>
      <c r="G375" s="26" t="s">
        <v>56</v>
      </c>
      <c r="H375" s="26" t="s">
        <v>57</v>
      </c>
      <c r="I375" s="26" t="s">
        <v>58</v>
      </c>
      <c r="J375" s="26" t="s">
        <v>56</v>
      </c>
      <c r="K375" s="27"/>
      <c r="L375" s="28" t="s">
        <v>57</v>
      </c>
      <c r="M375" s="29" t="str">
        <f t="shared" si="25"/>
        <v>✓ OK</v>
      </c>
      <c r="N375" s="43">
        <v>46193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2009</v>
      </c>
      <c r="C376" s="41" t="s">
        <v>2010</v>
      </c>
      <c r="D376" s="39" t="s">
        <v>1268</v>
      </c>
      <c r="E376" s="43">
        <v>46125</v>
      </c>
      <c r="F376" s="26" t="s">
        <v>55</v>
      </c>
      <c r="G376" s="26" t="s">
        <v>56</v>
      </c>
      <c r="H376" s="26" t="s">
        <v>57</v>
      </c>
      <c r="I376" s="26" t="s">
        <v>58</v>
      </c>
      <c r="J376" s="26" t="s">
        <v>56</v>
      </c>
      <c r="K376" s="27"/>
      <c r="L376" s="28" t="s">
        <v>57</v>
      </c>
      <c r="M376" s="29" t="str">
        <f t="shared" si="25"/>
        <v>✓ OK</v>
      </c>
      <c r="N376" s="43">
        <v>46193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2011</v>
      </c>
      <c r="C377" s="25" t="s">
        <v>2012</v>
      </c>
      <c r="D377" s="23" t="s">
        <v>1268</v>
      </c>
      <c r="E377" s="43">
        <v>46125</v>
      </c>
      <c r="F377" s="26" t="s">
        <v>55</v>
      </c>
      <c r="G377" s="26" t="s">
        <v>56</v>
      </c>
      <c r="H377" s="26" t="s">
        <v>57</v>
      </c>
      <c r="I377" s="26" t="s">
        <v>58</v>
      </c>
      <c r="J377" s="26" t="s">
        <v>56</v>
      </c>
      <c r="K377" s="27"/>
      <c r="L377" s="28" t="s">
        <v>57</v>
      </c>
      <c r="M377" s="29" t="str">
        <f t="shared" si="25"/>
        <v>✓ OK</v>
      </c>
      <c r="N377" s="43">
        <v>46193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2013</v>
      </c>
      <c r="C378" s="41" t="s">
        <v>2014</v>
      </c>
      <c r="D378" s="39" t="s">
        <v>1268</v>
      </c>
      <c r="E378" s="43">
        <v>46125</v>
      </c>
      <c r="F378" s="26" t="s">
        <v>55</v>
      </c>
      <c r="G378" s="26" t="s">
        <v>56</v>
      </c>
      <c r="H378" s="26" t="s">
        <v>57</v>
      </c>
      <c r="I378" s="26" t="s">
        <v>58</v>
      </c>
      <c r="J378" s="26" t="s">
        <v>56</v>
      </c>
      <c r="K378" s="27"/>
      <c r="L378" s="28" t="s">
        <v>57</v>
      </c>
      <c r="M378" s="29" t="str">
        <f t="shared" si="25"/>
        <v>✓ OK</v>
      </c>
      <c r="N378" s="43">
        <v>46193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2015</v>
      </c>
      <c r="C379" s="25" t="s">
        <v>2016</v>
      </c>
      <c r="D379" s="23" t="s">
        <v>1268</v>
      </c>
      <c r="E379" s="43">
        <v>46125</v>
      </c>
      <c r="F379" s="26" t="s">
        <v>55</v>
      </c>
      <c r="G379" s="26" t="s">
        <v>56</v>
      </c>
      <c r="H379" s="26" t="s">
        <v>57</v>
      </c>
      <c r="I379" s="26" t="s">
        <v>58</v>
      </c>
      <c r="J379" s="26" t="s">
        <v>56</v>
      </c>
      <c r="K379" s="27"/>
      <c r="L379" s="28" t="s">
        <v>57</v>
      </c>
      <c r="M379" s="29" t="str">
        <f t="shared" si="25"/>
        <v>✓ OK</v>
      </c>
      <c r="N379" s="43">
        <v>46193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2017</v>
      </c>
      <c r="C380" s="41" t="s">
        <v>2018</v>
      </c>
      <c r="D380" s="39" t="s">
        <v>1268</v>
      </c>
      <c r="E380" s="43">
        <v>46125</v>
      </c>
      <c r="F380" s="26" t="s">
        <v>55</v>
      </c>
      <c r="G380" s="26" t="s">
        <v>56</v>
      </c>
      <c r="H380" s="26" t="s">
        <v>57</v>
      </c>
      <c r="I380" s="26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43">
        <v>46193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2019</v>
      </c>
      <c r="C381" s="25" t="s">
        <v>2020</v>
      </c>
      <c r="D381" s="23" t="s">
        <v>1268</v>
      </c>
      <c r="E381" s="43">
        <v>46125</v>
      </c>
      <c r="F381" s="26" t="s">
        <v>55</v>
      </c>
      <c r="G381" s="26" t="s">
        <v>56</v>
      </c>
      <c r="H381" s="26" t="s">
        <v>57</v>
      </c>
      <c r="I381" s="26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43">
        <v>46193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2021</v>
      </c>
      <c r="C382" s="41" t="s">
        <v>2022</v>
      </c>
      <c r="D382" s="39" t="s">
        <v>1268</v>
      </c>
      <c r="E382" s="43">
        <v>46125</v>
      </c>
      <c r="F382" s="26" t="s">
        <v>55</v>
      </c>
      <c r="G382" s="26" t="s">
        <v>56</v>
      </c>
      <c r="H382" s="26" t="s">
        <v>57</v>
      </c>
      <c r="I382" s="26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43">
        <v>46193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2023</v>
      </c>
      <c r="C383" s="25" t="s">
        <v>2024</v>
      </c>
      <c r="D383" s="23" t="s">
        <v>1268</v>
      </c>
      <c r="E383" s="43">
        <v>46125</v>
      </c>
      <c r="F383" s="26" t="s">
        <v>55</v>
      </c>
      <c r="G383" s="26" t="s">
        <v>56</v>
      </c>
      <c r="H383" s="26" t="s">
        <v>57</v>
      </c>
      <c r="I383" s="26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43">
        <v>46193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2025</v>
      </c>
      <c r="C384" s="41" t="s">
        <v>2026</v>
      </c>
      <c r="D384" s="39" t="s">
        <v>1268</v>
      </c>
      <c r="E384" s="43">
        <v>46125</v>
      </c>
      <c r="F384" s="26" t="s">
        <v>55</v>
      </c>
      <c r="G384" s="26" t="s">
        <v>56</v>
      </c>
      <c r="H384" s="26" t="s">
        <v>57</v>
      </c>
      <c r="I384" s="26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43">
        <v>46193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2027</v>
      </c>
      <c r="C385" s="25" t="s">
        <v>2028</v>
      </c>
      <c r="D385" s="23" t="s">
        <v>1268</v>
      </c>
      <c r="E385" s="43">
        <v>46125</v>
      </c>
      <c r="F385" s="26" t="s">
        <v>55</v>
      </c>
      <c r="G385" s="26" t="s">
        <v>56</v>
      </c>
      <c r="H385" s="26" t="s">
        <v>57</v>
      </c>
      <c r="I385" s="26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43">
        <v>46193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2029</v>
      </c>
      <c r="C386" s="41" t="s">
        <v>2030</v>
      </c>
      <c r="D386" s="39" t="s">
        <v>1268</v>
      </c>
      <c r="E386" s="43">
        <v>46125</v>
      </c>
      <c r="F386" s="26" t="s">
        <v>55</v>
      </c>
      <c r="G386" s="26" t="s">
        <v>56</v>
      </c>
      <c r="H386" s="26" t="s">
        <v>57</v>
      </c>
      <c r="I386" s="26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43">
        <v>46193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2031</v>
      </c>
      <c r="C387" s="25" t="s">
        <v>2032</v>
      </c>
      <c r="D387" s="23" t="s">
        <v>1268</v>
      </c>
      <c r="E387" s="43">
        <v>46125</v>
      </c>
      <c r="F387" s="26" t="s">
        <v>55</v>
      </c>
      <c r="G387" s="26" t="s">
        <v>56</v>
      </c>
      <c r="H387" s="26" t="s">
        <v>57</v>
      </c>
      <c r="I387" s="26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43">
        <v>46193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2033</v>
      </c>
      <c r="C388" s="41" t="s">
        <v>2034</v>
      </c>
      <c r="D388" s="39" t="s">
        <v>1268</v>
      </c>
      <c r="E388" s="43">
        <v>46125</v>
      </c>
      <c r="F388" s="26" t="s">
        <v>55</v>
      </c>
      <c r="G388" s="26" t="s">
        <v>56</v>
      </c>
      <c r="H388" s="26" t="s">
        <v>57</v>
      </c>
      <c r="I388" s="26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43">
        <v>46193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2035</v>
      </c>
      <c r="C389" s="25" t="s">
        <v>2036</v>
      </c>
      <c r="D389" s="23" t="s">
        <v>1268</v>
      </c>
      <c r="E389" s="43">
        <v>46125</v>
      </c>
      <c r="F389" s="26" t="s">
        <v>55</v>
      </c>
      <c r="G389" s="26" t="s">
        <v>56</v>
      </c>
      <c r="H389" s="26" t="s">
        <v>57</v>
      </c>
      <c r="I389" s="26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43">
        <v>46193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2037</v>
      </c>
      <c r="C390" s="41" t="s">
        <v>2038</v>
      </c>
      <c r="D390" s="39" t="s">
        <v>1268</v>
      </c>
      <c r="E390" s="43">
        <v>46125</v>
      </c>
      <c r="F390" s="26" t="s">
        <v>55</v>
      </c>
      <c r="G390" s="26" t="s">
        <v>56</v>
      </c>
      <c r="H390" s="26" t="s">
        <v>57</v>
      </c>
      <c r="I390" s="26" t="s">
        <v>58</v>
      </c>
      <c r="J390" s="26" t="s">
        <v>56</v>
      </c>
      <c r="K390" s="27"/>
      <c r="L390" s="28" t="s">
        <v>57</v>
      </c>
      <c r="M390" s="29" t="str">
        <f t="shared" si="30"/>
        <v>✓ OK</v>
      </c>
      <c r="N390" s="43">
        <v>46193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2039</v>
      </c>
      <c r="C391" s="25" t="s">
        <v>2040</v>
      </c>
      <c r="D391" s="23" t="s">
        <v>1268</v>
      </c>
      <c r="E391" s="43">
        <v>46125</v>
      </c>
      <c r="F391" s="26" t="s">
        <v>55</v>
      </c>
      <c r="G391" s="26" t="s">
        <v>56</v>
      </c>
      <c r="H391" s="26" t="s">
        <v>57</v>
      </c>
      <c r="I391" s="26" t="s">
        <v>58</v>
      </c>
      <c r="J391" s="26" t="s">
        <v>56</v>
      </c>
      <c r="K391" s="27"/>
      <c r="L391" s="28" t="s">
        <v>57</v>
      </c>
      <c r="M391" s="29" t="str">
        <f t="shared" si="30"/>
        <v>✓ OK</v>
      </c>
      <c r="N391" s="43">
        <v>46193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2041</v>
      </c>
      <c r="C392" s="41" t="s">
        <v>2042</v>
      </c>
      <c r="D392" s="39" t="s">
        <v>1268</v>
      </c>
      <c r="E392" s="43">
        <v>46125</v>
      </c>
      <c r="F392" s="26" t="s">
        <v>55</v>
      </c>
      <c r="G392" s="26" t="s">
        <v>56</v>
      </c>
      <c r="H392" s="26" t="s">
        <v>57</v>
      </c>
      <c r="I392" s="26" t="s">
        <v>58</v>
      </c>
      <c r="J392" s="26" t="s">
        <v>56</v>
      </c>
      <c r="K392" s="27"/>
      <c r="L392" s="28" t="s">
        <v>57</v>
      </c>
      <c r="M392" s="29" t="str">
        <f t="shared" si="30"/>
        <v>✓ OK</v>
      </c>
      <c r="N392" s="43">
        <v>46193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2043</v>
      </c>
      <c r="C393" s="25" t="s">
        <v>2044</v>
      </c>
      <c r="D393" s="23" t="s">
        <v>1268</v>
      </c>
      <c r="E393" s="43">
        <v>46125</v>
      </c>
      <c r="F393" s="26" t="s">
        <v>55</v>
      </c>
      <c r="G393" s="26" t="s">
        <v>56</v>
      </c>
      <c r="H393" s="26" t="s">
        <v>57</v>
      </c>
      <c r="I393" s="26" t="s">
        <v>58</v>
      </c>
      <c r="J393" s="26" t="s">
        <v>56</v>
      </c>
      <c r="K393" s="27"/>
      <c r="L393" s="28" t="s">
        <v>57</v>
      </c>
      <c r="M393" s="29" t="str">
        <f t="shared" si="30"/>
        <v>✓ OK</v>
      </c>
      <c r="N393" s="43">
        <v>46193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2045</v>
      </c>
      <c r="C394" s="41" t="s">
        <v>2046</v>
      </c>
      <c r="D394" s="39" t="s">
        <v>1268</v>
      </c>
      <c r="E394" s="43">
        <v>46125</v>
      </c>
      <c r="F394" s="26" t="s">
        <v>55</v>
      </c>
      <c r="G394" s="26" t="s">
        <v>56</v>
      </c>
      <c r="H394" s="26" t="s">
        <v>57</v>
      </c>
      <c r="I394" s="26" t="s">
        <v>58</v>
      </c>
      <c r="J394" s="26" t="s">
        <v>56</v>
      </c>
      <c r="K394" s="27"/>
      <c r="L394" s="28" t="s">
        <v>57</v>
      </c>
      <c r="M394" s="29" t="str">
        <f t="shared" si="30"/>
        <v>✓ OK</v>
      </c>
      <c r="N394" s="43">
        <v>46193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2047</v>
      </c>
      <c r="C395" s="25" t="s">
        <v>2048</v>
      </c>
      <c r="D395" s="23" t="s">
        <v>1268</v>
      </c>
      <c r="E395" s="43">
        <v>46125</v>
      </c>
      <c r="F395" s="26" t="s">
        <v>55</v>
      </c>
      <c r="G395" s="26" t="s">
        <v>56</v>
      </c>
      <c r="H395" s="26" t="s">
        <v>57</v>
      </c>
      <c r="I395" s="26" t="s">
        <v>58</v>
      </c>
      <c r="J395" s="26" t="s">
        <v>56</v>
      </c>
      <c r="K395" s="27"/>
      <c r="L395" s="28" t="s">
        <v>57</v>
      </c>
      <c r="M395" s="29" t="str">
        <f t="shared" si="30"/>
        <v>✓ OK</v>
      </c>
      <c r="N395" s="43">
        <v>46193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2049</v>
      </c>
      <c r="C396" s="41" t="s">
        <v>2050</v>
      </c>
      <c r="D396" s="39" t="s">
        <v>1268</v>
      </c>
      <c r="E396" s="43">
        <v>46125</v>
      </c>
      <c r="F396" s="26" t="s">
        <v>55</v>
      </c>
      <c r="G396" s="26" t="s">
        <v>56</v>
      </c>
      <c r="H396" s="26" t="s">
        <v>57</v>
      </c>
      <c r="I396" s="26" t="s">
        <v>58</v>
      </c>
      <c r="J396" s="26" t="s">
        <v>56</v>
      </c>
      <c r="K396" s="27"/>
      <c r="L396" s="28" t="s">
        <v>57</v>
      </c>
      <c r="M396" s="29" t="str">
        <f t="shared" si="30"/>
        <v>✓ OK</v>
      </c>
      <c r="N396" s="43">
        <v>46193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2051</v>
      </c>
      <c r="C397" s="25" t="s">
        <v>2052</v>
      </c>
      <c r="D397" s="23" t="s">
        <v>1268</v>
      </c>
      <c r="E397" s="43">
        <v>46125</v>
      </c>
      <c r="F397" s="26" t="s">
        <v>55</v>
      </c>
      <c r="G397" s="26" t="s">
        <v>56</v>
      </c>
      <c r="H397" s="26" t="s">
        <v>57</v>
      </c>
      <c r="I397" s="26" t="s">
        <v>58</v>
      </c>
      <c r="J397" s="26" t="s">
        <v>56</v>
      </c>
      <c r="K397" s="27"/>
      <c r="L397" s="28" t="s">
        <v>57</v>
      </c>
      <c r="M397" s="29" t="str">
        <f t="shared" si="30"/>
        <v>✓ OK</v>
      </c>
      <c r="N397" s="43">
        <v>46193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2053</v>
      </c>
      <c r="C398" s="41" t="s">
        <v>2054</v>
      </c>
      <c r="D398" s="39" t="s">
        <v>1268</v>
      </c>
      <c r="E398" s="43">
        <v>46125</v>
      </c>
      <c r="F398" s="26" t="s">
        <v>55</v>
      </c>
      <c r="G398" s="26" t="s">
        <v>56</v>
      </c>
      <c r="H398" s="26" t="s">
        <v>57</v>
      </c>
      <c r="I398" s="26" t="s">
        <v>58</v>
      </c>
      <c r="J398" s="26" t="s">
        <v>56</v>
      </c>
      <c r="K398" s="27"/>
      <c r="L398" s="28" t="s">
        <v>57</v>
      </c>
      <c r="M398" s="29" t="str">
        <f t="shared" si="30"/>
        <v>✓ OK</v>
      </c>
      <c r="N398" s="43">
        <v>46193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2055</v>
      </c>
      <c r="C399" s="25" t="s">
        <v>2056</v>
      </c>
      <c r="D399" s="23" t="s">
        <v>1268</v>
      </c>
      <c r="E399" s="43">
        <v>46125</v>
      </c>
      <c r="F399" s="26" t="s">
        <v>55</v>
      </c>
      <c r="G399" s="26" t="s">
        <v>56</v>
      </c>
      <c r="H399" s="26" t="s">
        <v>57</v>
      </c>
      <c r="I399" s="26" t="s">
        <v>58</v>
      </c>
      <c r="J399" s="26" t="s">
        <v>56</v>
      </c>
      <c r="K399" s="27"/>
      <c r="L399" s="28" t="s">
        <v>57</v>
      </c>
      <c r="M399" s="29" t="str">
        <f t="shared" si="30"/>
        <v>✓ OK</v>
      </c>
      <c r="N399" s="43">
        <v>46193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2057</v>
      </c>
      <c r="C400" s="41" t="s">
        <v>2058</v>
      </c>
      <c r="D400" s="39" t="s">
        <v>1268</v>
      </c>
      <c r="E400" s="43">
        <v>46125</v>
      </c>
      <c r="F400" s="26" t="s">
        <v>55</v>
      </c>
      <c r="G400" s="26" t="s">
        <v>56</v>
      </c>
      <c r="H400" s="26" t="s">
        <v>57</v>
      </c>
      <c r="I400" s="26" t="s">
        <v>58</v>
      </c>
      <c r="J400" s="26" t="s">
        <v>56</v>
      </c>
      <c r="K400" s="27"/>
      <c r="L400" s="28" t="s">
        <v>57</v>
      </c>
      <c r="M400" s="29" t="str">
        <f t="shared" si="30"/>
        <v>✓ OK</v>
      </c>
      <c r="N400" s="43">
        <v>46193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2059</v>
      </c>
      <c r="C401" s="25" t="s">
        <v>2060</v>
      </c>
      <c r="D401" s="23" t="s">
        <v>1268</v>
      </c>
      <c r="E401" s="43">
        <v>46125</v>
      </c>
      <c r="F401" s="26" t="s">
        <v>55</v>
      </c>
      <c r="G401" s="26" t="s">
        <v>56</v>
      </c>
      <c r="H401" s="26" t="s">
        <v>57</v>
      </c>
      <c r="I401" s="26" t="s">
        <v>58</v>
      </c>
      <c r="J401" s="26" t="s">
        <v>56</v>
      </c>
      <c r="K401" s="27"/>
      <c r="L401" s="28" t="s">
        <v>57</v>
      </c>
      <c r="M401" s="29" t="str">
        <f t="shared" si="30"/>
        <v>✓ OK</v>
      </c>
      <c r="N401" s="43">
        <v>46193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2061</v>
      </c>
      <c r="C402" s="41" t="s">
        <v>2062</v>
      </c>
      <c r="D402" s="39" t="s">
        <v>1268</v>
      </c>
      <c r="E402" s="43">
        <v>46125</v>
      </c>
      <c r="F402" s="26" t="s">
        <v>55</v>
      </c>
      <c r="G402" s="26" t="s">
        <v>56</v>
      </c>
      <c r="H402" s="26" t="s">
        <v>57</v>
      </c>
      <c r="I402" s="26" t="s">
        <v>58</v>
      </c>
      <c r="J402" s="26" t="s">
        <v>56</v>
      </c>
      <c r="K402" s="27"/>
      <c r="L402" s="28" t="s">
        <v>57</v>
      </c>
      <c r="M402" s="29" t="str">
        <f t="shared" si="30"/>
        <v>✓ OK</v>
      </c>
      <c r="N402" s="43">
        <v>46193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2063</v>
      </c>
      <c r="C403" s="25" t="s">
        <v>2064</v>
      </c>
      <c r="D403" s="23" t="s">
        <v>1268</v>
      </c>
      <c r="E403" s="43">
        <v>46125</v>
      </c>
      <c r="F403" s="26" t="s">
        <v>55</v>
      </c>
      <c r="G403" s="26" t="s">
        <v>56</v>
      </c>
      <c r="H403" s="26" t="s">
        <v>57</v>
      </c>
      <c r="I403" s="26" t="s">
        <v>58</v>
      </c>
      <c r="J403" s="26" t="s">
        <v>56</v>
      </c>
      <c r="K403" s="27"/>
      <c r="L403" s="28" t="s">
        <v>57</v>
      </c>
      <c r="M403" s="29" t="str">
        <f t="shared" si="30"/>
        <v>✓ OK</v>
      </c>
      <c r="N403" s="43">
        <v>46193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2065</v>
      </c>
      <c r="C404" s="41" t="s">
        <v>2066</v>
      </c>
      <c r="D404" s="39" t="s">
        <v>1268</v>
      </c>
      <c r="E404" s="43">
        <v>46125</v>
      </c>
      <c r="F404" s="26" t="s">
        <v>55</v>
      </c>
      <c r="G404" s="26" t="s">
        <v>56</v>
      </c>
      <c r="H404" s="26" t="s">
        <v>57</v>
      </c>
      <c r="I404" s="26" t="s">
        <v>58</v>
      </c>
      <c r="J404" s="26" t="s">
        <v>56</v>
      </c>
      <c r="K404" s="27"/>
      <c r="L404" s="28" t="s">
        <v>57</v>
      </c>
      <c r="M404" s="29" t="str">
        <f t="shared" si="30"/>
        <v>✓ OK</v>
      </c>
      <c r="N404" s="43">
        <v>46193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2067</v>
      </c>
      <c r="C405" s="25" t="s">
        <v>2068</v>
      </c>
      <c r="D405" s="23" t="s">
        <v>1268</v>
      </c>
      <c r="E405" s="43">
        <v>46125</v>
      </c>
      <c r="F405" s="26" t="s">
        <v>55</v>
      </c>
      <c r="G405" s="26" t="s">
        <v>56</v>
      </c>
      <c r="H405" s="26" t="s">
        <v>57</v>
      </c>
      <c r="I405" s="26" t="s">
        <v>58</v>
      </c>
      <c r="J405" s="26" t="s">
        <v>56</v>
      </c>
      <c r="K405" s="27"/>
      <c r="L405" s="28" t="s">
        <v>57</v>
      </c>
      <c r="M405" s="29" t="str">
        <f t="shared" si="30"/>
        <v>✓ OK</v>
      </c>
      <c r="N405" s="43">
        <v>46193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2069</v>
      </c>
      <c r="C406" s="41" t="s">
        <v>2070</v>
      </c>
      <c r="D406" s="39" t="s">
        <v>1268</v>
      </c>
      <c r="E406" s="43">
        <v>46125</v>
      </c>
      <c r="F406" s="26" t="s">
        <v>55</v>
      </c>
      <c r="G406" s="26" t="s">
        <v>56</v>
      </c>
      <c r="H406" s="26" t="s">
        <v>57</v>
      </c>
      <c r="I406" s="26" t="s">
        <v>58</v>
      </c>
      <c r="J406" s="26" t="s">
        <v>56</v>
      </c>
      <c r="K406" s="27"/>
      <c r="L406" s="28" t="s">
        <v>57</v>
      </c>
      <c r="M406" s="29" t="str">
        <f t="shared" si="30"/>
        <v>✓ OK</v>
      </c>
      <c r="N406" s="43">
        <v>46193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2071</v>
      </c>
      <c r="C407" s="25" t="s">
        <v>2072</v>
      </c>
      <c r="D407" s="23" t="s">
        <v>1268</v>
      </c>
      <c r="E407" s="43">
        <v>46125</v>
      </c>
      <c r="F407" s="26" t="s">
        <v>55</v>
      </c>
      <c r="G407" s="26" t="s">
        <v>56</v>
      </c>
      <c r="H407" s="26" t="s">
        <v>57</v>
      </c>
      <c r="I407" s="26" t="s">
        <v>58</v>
      </c>
      <c r="J407" s="26" t="s">
        <v>56</v>
      </c>
      <c r="K407" s="27"/>
      <c r="L407" s="28" t="s">
        <v>57</v>
      </c>
      <c r="M407" s="29" t="str">
        <f t="shared" si="30"/>
        <v>✓ OK</v>
      </c>
      <c r="N407" s="43">
        <v>46193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2073</v>
      </c>
      <c r="C408" s="41" t="s">
        <v>2074</v>
      </c>
      <c r="D408" s="39" t="s">
        <v>1268</v>
      </c>
      <c r="E408" s="43">
        <v>46125</v>
      </c>
      <c r="F408" s="26" t="s">
        <v>55</v>
      </c>
      <c r="G408" s="26" t="s">
        <v>56</v>
      </c>
      <c r="H408" s="26" t="s">
        <v>57</v>
      </c>
      <c r="I408" s="26" t="s">
        <v>58</v>
      </c>
      <c r="J408" s="26" t="s">
        <v>56</v>
      </c>
      <c r="K408" s="27"/>
      <c r="L408" s="28" t="s">
        <v>57</v>
      </c>
      <c r="M408" s="29" t="str">
        <f t="shared" si="30"/>
        <v>✓ OK</v>
      </c>
      <c r="N408" s="43">
        <v>46193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2075</v>
      </c>
      <c r="C409" s="25" t="s">
        <v>2076</v>
      </c>
      <c r="D409" s="23" t="s">
        <v>1268</v>
      </c>
      <c r="E409" s="43">
        <v>46125</v>
      </c>
      <c r="F409" s="26" t="s">
        <v>55</v>
      </c>
      <c r="G409" s="26" t="s">
        <v>56</v>
      </c>
      <c r="H409" s="26" t="s">
        <v>57</v>
      </c>
      <c r="I409" s="26" t="s">
        <v>58</v>
      </c>
      <c r="J409" s="26" t="s">
        <v>56</v>
      </c>
      <c r="K409" s="27"/>
      <c r="L409" s="28" t="s">
        <v>57</v>
      </c>
      <c r="M409" s="29" t="str">
        <f t="shared" si="30"/>
        <v>✓ OK</v>
      </c>
      <c r="N409" s="43">
        <v>46193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2077</v>
      </c>
      <c r="C410" s="41" t="s">
        <v>2078</v>
      </c>
      <c r="D410" s="39" t="s">
        <v>1268</v>
      </c>
      <c r="E410" s="43">
        <v>46125</v>
      </c>
      <c r="F410" s="26" t="s">
        <v>55</v>
      </c>
      <c r="G410" s="26" t="s">
        <v>56</v>
      </c>
      <c r="H410" s="26" t="s">
        <v>57</v>
      </c>
      <c r="I410" s="26" t="s">
        <v>58</v>
      </c>
      <c r="J410" s="26" t="s">
        <v>56</v>
      </c>
      <c r="K410" s="27"/>
      <c r="L410" s="28" t="s">
        <v>57</v>
      </c>
      <c r="M410" s="29" t="str">
        <f t="shared" si="30"/>
        <v>✓ OK</v>
      </c>
      <c r="N410" s="43">
        <v>46193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2079</v>
      </c>
      <c r="C411" s="25" t="s">
        <v>2080</v>
      </c>
      <c r="D411" s="23" t="s">
        <v>1268</v>
      </c>
      <c r="E411" s="43">
        <v>46125</v>
      </c>
      <c r="F411" s="26" t="s">
        <v>55</v>
      </c>
      <c r="G411" s="26" t="s">
        <v>56</v>
      </c>
      <c r="H411" s="26" t="s">
        <v>57</v>
      </c>
      <c r="I411" s="26" t="s">
        <v>58</v>
      </c>
      <c r="J411" s="26" t="s">
        <v>56</v>
      </c>
      <c r="K411" s="27"/>
      <c r="L411" s="28" t="s">
        <v>57</v>
      </c>
      <c r="M411" s="29" t="str">
        <f t="shared" si="30"/>
        <v>✓ OK</v>
      </c>
      <c r="N411" s="43">
        <v>46193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2081</v>
      </c>
      <c r="C412" s="41" t="s">
        <v>2082</v>
      </c>
      <c r="D412" s="39" t="s">
        <v>1268</v>
      </c>
      <c r="E412" s="43">
        <v>46125</v>
      </c>
      <c r="F412" s="26" t="s">
        <v>55</v>
      </c>
      <c r="G412" s="26" t="s">
        <v>56</v>
      </c>
      <c r="H412" s="26" t="s">
        <v>57</v>
      </c>
      <c r="I412" s="26" t="s">
        <v>58</v>
      </c>
      <c r="J412" s="26" t="s">
        <v>56</v>
      </c>
      <c r="K412" s="27"/>
      <c r="L412" s="28" t="s">
        <v>57</v>
      </c>
      <c r="M412" s="29" t="str">
        <f t="shared" si="30"/>
        <v>✓ OK</v>
      </c>
      <c r="N412" s="43">
        <v>46193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2083</v>
      </c>
      <c r="C413" s="25" t="s">
        <v>2084</v>
      </c>
      <c r="D413" s="23" t="s">
        <v>1268</v>
      </c>
      <c r="E413" s="43">
        <v>46125</v>
      </c>
      <c r="F413" s="26" t="s">
        <v>55</v>
      </c>
      <c r="G413" s="26" t="s">
        <v>56</v>
      </c>
      <c r="H413" s="26" t="s">
        <v>57</v>
      </c>
      <c r="I413" s="26" t="s">
        <v>58</v>
      </c>
      <c r="J413" s="26" t="s">
        <v>56</v>
      </c>
      <c r="K413" s="27"/>
      <c r="L413" s="28" t="s">
        <v>57</v>
      </c>
      <c r="M413" s="29" t="str">
        <f t="shared" si="30"/>
        <v>✓ OK</v>
      </c>
      <c r="N413" s="43">
        <v>46193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2085</v>
      </c>
      <c r="C414" s="41" t="s">
        <v>2086</v>
      </c>
      <c r="D414" s="39" t="s">
        <v>1268</v>
      </c>
      <c r="E414" s="43">
        <v>46125</v>
      </c>
      <c r="F414" s="26" t="s">
        <v>55</v>
      </c>
      <c r="G414" s="26" t="s">
        <v>56</v>
      </c>
      <c r="H414" s="26" t="s">
        <v>57</v>
      </c>
      <c r="I414" s="26" t="s">
        <v>58</v>
      </c>
      <c r="J414" s="26" t="s">
        <v>56</v>
      </c>
      <c r="K414" s="27"/>
      <c r="L414" s="28" t="s">
        <v>57</v>
      </c>
      <c r="M414" s="29" t="str">
        <f t="shared" si="30"/>
        <v>✓ OK</v>
      </c>
      <c r="N414" s="43">
        <v>46193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2087</v>
      </c>
      <c r="C415" s="25" t="s">
        <v>2088</v>
      </c>
      <c r="D415" s="23" t="s">
        <v>1268</v>
      </c>
      <c r="E415" s="43">
        <v>46125</v>
      </c>
      <c r="F415" s="26" t="s">
        <v>55</v>
      </c>
      <c r="G415" s="26" t="s">
        <v>56</v>
      </c>
      <c r="H415" s="26" t="s">
        <v>57</v>
      </c>
      <c r="I415" s="26" t="s">
        <v>58</v>
      </c>
      <c r="J415" s="26" t="s">
        <v>56</v>
      </c>
      <c r="K415" s="27"/>
      <c r="L415" s="28" t="s">
        <v>57</v>
      </c>
      <c r="M415" s="29" t="str">
        <f t="shared" si="30"/>
        <v>✓ OK</v>
      </c>
      <c r="N415" s="43">
        <v>46193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2089</v>
      </c>
      <c r="C416" s="41" t="s">
        <v>2090</v>
      </c>
      <c r="D416" s="39" t="s">
        <v>1268</v>
      </c>
      <c r="E416" s="43">
        <v>46125</v>
      </c>
      <c r="F416" s="26" t="s">
        <v>55</v>
      </c>
      <c r="G416" s="26" t="s">
        <v>56</v>
      </c>
      <c r="H416" s="26" t="s">
        <v>57</v>
      </c>
      <c r="I416" s="26" t="s">
        <v>58</v>
      </c>
      <c r="J416" s="26" t="s">
        <v>56</v>
      </c>
      <c r="K416" s="27"/>
      <c r="L416" s="28" t="s">
        <v>57</v>
      </c>
      <c r="M416" s="29" t="str">
        <f t="shared" si="30"/>
        <v>✓ OK</v>
      </c>
      <c r="N416" s="43">
        <v>46193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2091</v>
      </c>
      <c r="C417" s="25" t="s">
        <v>2092</v>
      </c>
      <c r="D417" s="23" t="s">
        <v>1268</v>
      </c>
      <c r="E417" s="43">
        <v>46125</v>
      </c>
      <c r="F417" s="26" t="s">
        <v>55</v>
      </c>
      <c r="G417" s="26" t="s">
        <v>56</v>
      </c>
      <c r="H417" s="26" t="s">
        <v>57</v>
      </c>
      <c r="I417" s="26" t="s">
        <v>58</v>
      </c>
      <c r="J417" s="26" t="s">
        <v>56</v>
      </c>
      <c r="K417" s="27"/>
      <c r="L417" s="28" t="s">
        <v>57</v>
      </c>
      <c r="M417" s="29" t="str">
        <f t="shared" si="30"/>
        <v>✓ OK</v>
      </c>
      <c r="N417" s="43">
        <v>46193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2093</v>
      </c>
      <c r="C418" s="41" t="s">
        <v>2094</v>
      </c>
      <c r="D418" s="39" t="s">
        <v>1268</v>
      </c>
      <c r="E418" s="43">
        <v>46125</v>
      </c>
      <c r="F418" s="26" t="s">
        <v>55</v>
      </c>
      <c r="G418" s="26" t="s">
        <v>56</v>
      </c>
      <c r="H418" s="26" t="s">
        <v>57</v>
      </c>
      <c r="I418" s="26" t="s">
        <v>58</v>
      </c>
      <c r="J418" s="26" t="s">
        <v>56</v>
      </c>
      <c r="K418" s="27"/>
      <c r="L418" s="28" t="s">
        <v>57</v>
      </c>
      <c r="M418" s="29" t="str">
        <f t="shared" si="30"/>
        <v>✓ OK</v>
      </c>
      <c r="N418" s="43">
        <v>46193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2095</v>
      </c>
      <c r="C419" s="25" t="s">
        <v>2096</v>
      </c>
      <c r="D419" s="23" t="s">
        <v>1268</v>
      </c>
      <c r="E419" s="43">
        <v>46125</v>
      </c>
      <c r="F419" s="26" t="s">
        <v>55</v>
      </c>
      <c r="G419" s="26" t="s">
        <v>56</v>
      </c>
      <c r="H419" s="26" t="s">
        <v>57</v>
      </c>
      <c r="I419" s="26" t="s">
        <v>58</v>
      </c>
      <c r="J419" s="26" t="s">
        <v>56</v>
      </c>
      <c r="K419" s="27"/>
      <c r="L419" s="28" t="s">
        <v>57</v>
      </c>
      <c r="M419" s="29" t="str">
        <f t="shared" si="30"/>
        <v>✓ OK</v>
      </c>
      <c r="N419" s="43">
        <v>46193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2097</v>
      </c>
      <c r="C420" s="41" t="s">
        <v>2098</v>
      </c>
      <c r="D420" s="39" t="s">
        <v>1268</v>
      </c>
      <c r="E420" s="43">
        <v>46125</v>
      </c>
      <c r="F420" s="26" t="s">
        <v>55</v>
      </c>
      <c r="G420" s="26" t="s">
        <v>56</v>
      </c>
      <c r="H420" s="26" t="s">
        <v>57</v>
      </c>
      <c r="I420" s="26" t="s">
        <v>58</v>
      </c>
      <c r="J420" s="26" t="s">
        <v>56</v>
      </c>
      <c r="K420" s="27"/>
      <c r="L420" s="28" t="s">
        <v>57</v>
      </c>
      <c r="M420" s="29" t="str">
        <f t="shared" si="30"/>
        <v>✓ OK</v>
      </c>
      <c r="N420" s="43">
        <v>46193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2099</v>
      </c>
      <c r="C421" s="25" t="s">
        <v>2100</v>
      </c>
      <c r="D421" s="23" t="s">
        <v>1268</v>
      </c>
      <c r="E421" s="43">
        <v>46125</v>
      </c>
      <c r="F421" s="26" t="s">
        <v>55</v>
      </c>
      <c r="G421" s="26" t="s">
        <v>56</v>
      </c>
      <c r="H421" s="26" t="s">
        <v>57</v>
      </c>
      <c r="I421" s="26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43">
        <v>46193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2101</v>
      </c>
      <c r="C422" s="41" t="s">
        <v>2102</v>
      </c>
      <c r="D422" s="39" t="s">
        <v>1268</v>
      </c>
      <c r="E422" s="43">
        <v>46125</v>
      </c>
      <c r="F422" s="26" t="s">
        <v>55</v>
      </c>
      <c r="G422" s="26" t="s">
        <v>56</v>
      </c>
      <c r="H422" s="26" t="s">
        <v>57</v>
      </c>
      <c r="I422" s="26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43">
        <v>46193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2103</v>
      </c>
      <c r="C423" s="25" t="s">
        <v>2104</v>
      </c>
      <c r="D423" s="23" t="s">
        <v>1268</v>
      </c>
      <c r="E423" s="43">
        <v>46125</v>
      </c>
      <c r="F423" s="26" t="s">
        <v>55</v>
      </c>
      <c r="G423" s="26" t="s">
        <v>56</v>
      </c>
      <c r="H423" s="26" t="s">
        <v>57</v>
      </c>
      <c r="I423" s="26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43">
        <v>46193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2105</v>
      </c>
      <c r="C424" s="41" t="s">
        <v>2106</v>
      </c>
      <c r="D424" s="39" t="s">
        <v>1268</v>
      </c>
      <c r="E424" s="43">
        <v>46125</v>
      </c>
      <c r="F424" s="26" t="s">
        <v>55</v>
      </c>
      <c r="G424" s="26" t="s">
        <v>56</v>
      </c>
      <c r="H424" s="26" t="s">
        <v>57</v>
      </c>
      <c r="I424" s="26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43">
        <v>46193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2107</v>
      </c>
      <c r="C425" s="25" t="s">
        <v>2108</v>
      </c>
      <c r="D425" s="23" t="s">
        <v>1268</v>
      </c>
      <c r="E425" s="43">
        <v>46125</v>
      </c>
      <c r="F425" s="26" t="s">
        <v>55</v>
      </c>
      <c r="G425" s="26" t="s">
        <v>56</v>
      </c>
      <c r="H425" s="26" t="s">
        <v>57</v>
      </c>
      <c r="I425" s="26" t="s">
        <v>58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43">
        <v>46193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2109</v>
      </c>
      <c r="C426" s="41" t="s">
        <v>2110</v>
      </c>
      <c r="D426" s="39" t="s">
        <v>1268</v>
      </c>
      <c r="E426" s="43">
        <v>46125</v>
      </c>
      <c r="F426" s="26" t="s">
        <v>55</v>
      </c>
      <c r="G426" s="26" t="s">
        <v>56</v>
      </c>
      <c r="H426" s="26" t="s">
        <v>57</v>
      </c>
      <c r="I426" s="26" t="s">
        <v>58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43">
        <v>46193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2111</v>
      </c>
      <c r="C427" s="25" t="s">
        <v>2112</v>
      </c>
      <c r="D427" s="23" t="s">
        <v>1268</v>
      </c>
      <c r="E427" s="43">
        <v>46125</v>
      </c>
      <c r="F427" s="26" t="s">
        <v>55</v>
      </c>
      <c r="G427" s="26" t="s">
        <v>56</v>
      </c>
      <c r="H427" s="26" t="s">
        <v>57</v>
      </c>
      <c r="I427" s="26" t="s">
        <v>58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43">
        <v>46193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2113</v>
      </c>
      <c r="C428" s="41" t="s">
        <v>2114</v>
      </c>
      <c r="D428" s="39" t="s">
        <v>1268</v>
      </c>
      <c r="E428" s="43">
        <v>46125</v>
      </c>
      <c r="F428" s="26" t="s">
        <v>55</v>
      </c>
      <c r="G428" s="26" t="s">
        <v>56</v>
      </c>
      <c r="H428" s="26" t="s">
        <v>57</v>
      </c>
      <c r="I428" s="26" t="s">
        <v>58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43">
        <v>46193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2115</v>
      </c>
      <c r="C429" s="25" t="s">
        <v>2116</v>
      </c>
      <c r="D429" s="23" t="s">
        <v>1268</v>
      </c>
      <c r="E429" s="43">
        <v>46125</v>
      </c>
      <c r="F429" s="26" t="s">
        <v>55</v>
      </c>
      <c r="G429" s="26" t="s">
        <v>56</v>
      </c>
      <c r="H429" s="26" t="s">
        <v>57</v>
      </c>
      <c r="I429" s="26" t="s">
        <v>58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43">
        <v>46193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2117</v>
      </c>
      <c r="C430" s="41" t="s">
        <v>2118</v>
      </c>
      <c r="D430" s="39" t="s">
        <v>1268</v>
      </c>
      <c r="E430" s="43">
        <v>46125</v>
      </c>
      <c r="F430" s="26" t="s">
        <v>55</v>
      </c>
      <c r="G430" s="26" t="s">
        <v>56</v>
      </c>
      <c r="H430" s="26" t="s">
        <v>57</v>
      </c>
      <c r="I430" s="26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43">
        <v>46193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2119</v>
      </c>
      <c r="C431" s="25" t="s">
        <v>2120</v>
      </c>
      <c r="D431" s="23" t="s">
        <v>1268</v>
      </c>
      <c r="E431" s="43">
        <v>46125</v>
      </c>
      <c r="F431" s="26" t="s">
        <v>55</v>
      </c>
      <c r="G431" s="26" t="s">
        <v>56</v>
      </c>
      <c r="H431" s="26" t="s">
        <v>57</v>
      </c>
      <c r="I431" s="26" t="s">
        <v>58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43">
        <v>46193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2121</v>
      </c>
      <c r="C432" s="41" t="s">
        <v>2122</v>
      </c>
      <c r="D432" s="39" t="s">
        <v>1268</v>
      </c>
      <c r="E432" s="43">
        <v>46125</v>
      </c>
      <c r="F432" s="26" t="s">
        <v>55</v>
      </c>
      <c r="G432" s="26" t="s">
        <v>56</v>
      </c>
      <c r="H432" s="26" t="s">
        <v>57</v>
      </c>
      <c r="I432" s="26" t="s">
        <v>58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43">
        <v>46193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2123</v>
      </c>
      <c r="C433" s="25" t="s">
        <v>2124</v>
      </c>
      <c r="D433" s="23" t="s">
        <v>1268</v>
      </c>
      <c r="E433" s="43">
        <v>46125</v>
      </c>
      <c r="F433" s="26" t="s">
        <v>55</v>
      </c>
      <c r="G433" s="26" t="s">
        <v>56</v>
      </c>
      <c r="H433" s="26" t="s">
        <v>57</v>
      </c>
      <c r="I433" s="26" t="s">
        <v>58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43">
        <v>46193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2125</v>
      </c>
      <c r="C434" s="41" t="s">
        <v>2126</v>
      </c>
      <c r="D434" s="39" t="s">
        <v>1268</v>
      </c>
      <c r="E434" s="43">
        <v>46125</v>
      </c>
      <c r="F434" s="26" t="s">
        <v>55</v>
      </c>
      <c r="G434" s="26" t="s">
        <v>56</v>
      </c>
      <c r="H434" s="26" t="s">
        <v>57</v>
      </c>
      <c r="I434" s="26" t="s">
        <v>58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43">
        <v>46193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2127</v>
      </c>
      <c r="C435" s="25" t="s">
        <v>2128</v>
      </c>
      <c r="D435" s="23" t="s">
        <v>1268</v>
      </c>
      <c r="E435" s="43">
        <v>46125</v>
      </c>
      <c r="F435" s="26" t="s">
        <v>55</v>
      </c>
      <c r="G435" s="26" t="s">
        <v>56</v>
      </c>
      <c r="H435" s="26" t="s">
        <v>57</v>
      </c>
      <c r="I435" s="26" t="s">
        <v>58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43">
        <v>46193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2129</v>
      </c>
      <c r="C436" s="41" t="s">
        <v>2130</v>
      </c>
      <c r="D436" s="39" t="s">
        <v>1268</v>
      </c>
      <c r="E436" s="43">
        <v>46125</v>
      </c>
      <c r="F436" s="26" t="s">
        <v>55</v>
      </c>
      <c r="G436" s="26" t="s">
        <v>56</v>
      </c>
      <c r="H436" s="26" t="s">
        <v>57</v>
      </c>
      <c r="I436" s="26" t="s">
        <v>58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43">
        <v>46193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2131</v>
      </c>
      <c r="C437" s="25" t="s">
        <v>2132</v>
      </c>
      <c r="D437" s="23" t="s">
        <v>1268</v>
      </c>
      <c r="E437" s="43">
        <v>46125</v>
      </c>
      <c r="F437" s="26" t="s">
        <v>55</v>
      </c>
      <c r="G437" s="26" t="s">
        <v>56</v>
      </c>
      <c r="H437" s="26" t="s">
        <v>57</v>
      </c>
      <c r="I437" s="26" t="s">
        <v>58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43">
        <v>46193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2133</v>
      </c>
      <c r="C438" s="41" t="s">
        <v>2134</v>
      </c>
      <c r="D438" s="39" t="s">
        <v>1268</v>
      </c>
      <c r="E438" s="43">
        <v>46125</v>
      </c>
      <c r="F438" s="26" t="s">
        <v>55</v>
      </c>
      <c r="G438" s="26" t="s">
        <v>56</v>
      </c>
      <c r="H438" s="26" t="s">
        <v>57</v>
      </c>
      <c r="I438" s="26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43">
        <v>46193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2135</v>
      </c>
      <c r="C439" s="25" t="s">
        <v>2136</v>
      </c>
      <c r="D439" s="23" t="s">
        <v>1268</v>
      </c>
      <c r="E439" s="43">
        <v>46125</v>
      </c>
      <c r="F439" s="26" t="s">
        <v>55</v>
      </c>
      <c r="G439" s="26" t="s">
        <v>56</v>
      </c>
      <c r="H439" s="26" t="s">
        <v>57</v>
      </c>
      <c r="I439" s="26" t="s">
        <v>58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43">
        <v>46193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2137</v>
      </c>
      <c r="C440" s="41" t="s">
        <v>2138</v>
      </c>
      <c r="D440" s="39" t="s">
        <v>1268</v>
      </c>
      <c r="E440" s="43">
        <v>46125</v>
      </c>
      <c r="F440" s="26" t="s">
        <v>55</v>
      </c>
      <c r="G440" s="26" t="s">
        <v>56</v>
      </c>
      <c r="H440" s="26" t="s">
        <v>57</v>
      </c>
      <c r="I440" s="26" t="s">
        <v>58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43">
        <v>46193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2139</v>
      </c>
      <c r="C441" s="25" t="s">
        <v>2140</v>
      </c>
      <c r="D441" s="23" t="s">
        <v>1268</v>
      </c>
      <c r="E441" s="43">
        <v>46125</v>
      </c>
      <c r="F441" s="26" t="s">
        <v>55</v>
      </c>
      <c r="G441" s="26" t="s">
        <v>56</v>
      </c>
      <c r="H441" s="26" t="s">
        <v>57</v>
      </c>
      <c r="I441" s="26" t="s">
        <v>58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43">
        <v>46193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2141</v>
      </c>
      <c r="C442" s="41" t="s">
        <v>2142</v>
      </c>
      <c r="D442" s="39" t="s">
        <v>1268</v>
      </c>
      <c r="E442" s="43">
        <v>46125</v>
      </c>
      <c r="F442" s="26" t="s">
        <v>55</v>
      </c>
      <c r="G442" s="26" t="s">
        <v>56</v>
      </c>
      <c r="H442" s="26" t="s">
        <v>57</v>
      </c>
      <c r="I442" s="26" t="s">
        <v>58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43">
        <v>46193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2143</v>
      </c>
      <c r="C443" s="25" t="s">
        <v>2144</v>
      </c>
      <c r="D443" s="23" t="s">
        <v>1268</v>
      </c>
      <c r="E443" s="43">
        <v>46125</v>
      </c>
      <c r="F443" s="26" t="s">
        <v>55</v>
      </c>
      <c r="G443" s="26" t="s">
        <v>56</v>
      </c>
      <c r="H443" s="26" t="s">
        <v>57</v>
      </c>
      <c r="I443" s="26" t="s">
        <v>58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43">
        <v>46193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2145</v>
      </c>
      <c r="C444" s="41" t="s">
        <v>2146</v>
      </c>
      <c r="D444" s="39" t="s">
        <v>1268</v>
      </c>
      <c r="E444" s="43">
        <v>46125</v>
      </c>
      <c r="F444" s="26" t="s">
        <v>55</v>
      </c>
      <c r="G444" s="26" t="s">
        <v>56</v>
      </c>
      <c r="H444" s="26" t="s">
        <v>57</v>
      </c>
      <c r="I444" s="26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43">
        <v>46193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2147</v>
      </c>
      <c r="C445" s="25" t="s">
        <v>2148</v>
      </c>
      <c r="D445" s="23" t="s">
        <v>1268</v>
      </c>
      <c r="E445" s="43">
        <v>46125</v>
      </c>
      <c r="F445" s="26" t="s">
        <v>55</v>
      </c>
      <c r="G445" s="26" t="s">
        <v>56</v>
      </c>
      <c r="H445" s="26" t="s">
        <v>57</v>
      </c>
      <c r="I445" s="26" t="s">
        <v>58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43">
        <v>46193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2149</v>
      </c>
      <c r="C446" s="41" t="s">
        <v>2150</v>
      </c>
      <c r="D446" s="39" t="s">
        <v>1268</v>
      </c>
      <c r="E446" s="43">
        <v>46125</v>
      </c>
      <c r="F446" s="26" t="s">
        <v>55</v>
      </c>
      <c r="G446" s="26" t="s">
        <v>56</v>
      </c>
      <c r="H446" s="26" t="s">
        <v>57</v>
      </c>
      <c r="I446" s="26" t="s">
        <v>58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43">
        <v>46193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2151</v>
      </c>
      <c r="C447" s="25" t="s">
        <v>2152</v>
      </c>
      <c r="D447" s="23" t="s">
        <v>1268</v>
      </c>
      <c r="E447" s="43">
        <v>46125</v>
      </c>
      <c r="F447" s="26" t="s">
        <v>55</v>
      </c>
      <c r="G447" s="26" t="s">
        <v>56</v>
      </c>
      <c r="H447" s="26" t="s">
        <v>57</v>
      </c>
      <c r="I447" s="26" t="s">
        <v>58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43">
        <v>46193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2153</v>
      </c>
      <c r="C448" s="41" t="s">
        <v>2154</v>
      </c>
      <c r="D448" s="39" t="s">
        <v>1268</v>
      </c>
      <c r="E448" s="43">
        <v>46125</v>
      </c>
      <c r="F448" s="26" t="s">
        <v>55</v>
      </c>
      <c r="G448" s="26" t="s">
        <v>56</v>
      </c>
      <c r="H448" s="26" t="s">
        <v>57</v>
      </c>
      <c r="I448" s="26" t="s">
        <v>58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43">
        <v>46193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2155</v>
      </c>
      <c r="C449" s="25" t="s">
        <v>2156</v>
      </c>
      <c r="D449" s="23" t="s">
        <v>1268</v>
      </c>
      <c r="E449" s="43">
        <v>46125</v>
      </c>
      <c r="F449" s="26" t="s">
        <v>55</v>
      </c>
      <c r="G449" s="26" t="s">
        <v>56</v>
      </c>
      <c r="H449" s="26" t="s">
        <v>57</v>
      </c>
      <c r="I449" s="26" t="s">
        <v>58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43">
        <v>46193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2157</v>
      </c>
      <c r="C450" s="41" t="s">
        <v>2158</v>
      </c>
      <c r="D450" s="39" t="s">
        <v>1268</v>
      </c>
      <c r="E450" s="43">
        <v>46125</v>
      </c>
      <c r="F450" s="26" t="s">
        <v>55</v>
      </c>
      <c r="G450" s="26" t="s">
        <v>56</v>
      </c>
      <c r="H450" s="26" t="s">
        <v>57</v>
      </c>
      <c r="I450" s="26" t="s">
        <v>58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43">
        <v>46193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2159</v>
      </c>
      <c r="C451" s="25" t="s">
        <v>2160</v>
      </c>
      <c r="D451" s="23" t="s">
        <v>1268</v>
      </c>
      <c r="E451" s="43">
        <v>46125</v>
      </c>
      <c r="F451" s="26" t="s">
        <v>55</v>
      </c>
      <c r="G451" s="26" t="s">
        <v>56</v>
      </c>
      <c r="H451" s="26" t="s">
        <v>57</v>
      </c>
      <c r="I451" s="26" t="s">
        <v>58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43">
        <v>46193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2161</v>
      </c>
      <c r="C452" s="41" t="s">
        <v>2162</v>
      </c>
      <c r="D452" s="39" t="s">
        <v>1268</v>
      </c>
      <c r="E452" s="43">
        <v>46125</v>
      </c>
      <c r="F452" s="26" t="s">
        <v>55</v>
      </c>
      <c r="G452" s="26" t="s">
        <v>56</v>
      </c>
      <c r="H452" s="26" t="s">
        <v>57</v>
      </c>
      <c r="I452" s="26" t="s">
        <v>58</v>
      </c>
      <c r="J452" s="26" t="s">
        <v>56</v>
      </c>
      <c r="K452" s="27"/>
      <c r="L452" s="28" t="s">
        <v>57</v>
      </c>
      <c r="M452" s="29" t="str">
        <f t="shared" si="30"/>
        <v>✓ OK</v>
      </c>
      <c r="N452" s="43">
        <v>46193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2163</v>
      </c>
      <c r="C453" s="25" t="s">
        <v>2164</v>
      </c>
      <c r="D453" s="23" t="s">
        <v>1268</v>
      </c>
      <c r="E453" s="43">
        <v>46125</v>
      </c>
      <c r="F453" s="26" t="s">
        <v>55</v>
      </c>
      <c r="G453" s="26" t="s">
        <v>56</v>
      </c>
      <c r="H453" s="26" t="s">
        <v>57</v>
      </c>
      <c r="I453" s="26" t="s">
        <v>58</v>
      </c>
      <c r="J453" s="26" t="s">
        <v>56</v>
      </c>
      <c r="K453" s="27"/>
      <c r="L453" s="28" t="s">
        <v>57</v>
      </c>
      <c r="M453" s="29" t="str">
        <f t="shared" ref="M453:M516" si="35">IF(E453="","",IF(H453="Yes","❌ Disc",IF(G453="No","⚠ Missing",IF(J453="Yes","✓ OK","⚠ Check"))))</f>
        <v>✓ OK</v>
      </c>
      <c r="N453" s="43">
        <v>46193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2165</v>
      </c>
      <c r="C454" s="41" t="s">
        <v>2166</v>
      </c>
      <c r="D454" s="39" t="s">
        <v>1268</v>
      </c>
      <c r="E454" s="43">
        <v>46125</v>
      </c>
      <c r="F454" s="26" t="s">
        <v>55</v>
      </c>
      <c r="G454" s="26" t="s">
        <v>56</v>
      </c>
      <c r="H454" s="26" t="s">
        <v>57</v>
      </c>
      <c r="I454" s="26" t="s">
        <v>58</v>
      </c>
      <c r="J454" s="26" t="s">
        <v>56</v>
      </c>
      <c r="K454" s="27"/>
      <c r="L454" s="28" t="s">
        <v>57</v>
      </c>
      <c r="M454" s="29" t="str">
        <f t="shared" si="35"/>
        <v>✓ OK</v>
      </c>
      <c r="N454" s="43">
        <v>46193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2167</v>
      </c>
      <c r="C455" s="25" t="s">
        <v>2168</v>
      </c>
      <c r="D455" s="23" t="s">
        <v>1268</v>
      </c>
      <c r="E455" s="43">
        <v>46125</v>
      </c>
      <c r="F455" s="26" t="s">
        <v>55</v>
      </c>
      <c r="G455" s="26" t="s">
        <v>56</v>
      </c>
      <c r="H455" s="26" t="s">
        <v>57</v>
      </c>
      <c r="I455" s="26" t="s">
        <v>58</v>
      </c>
      <c r="J455" s="26" t="s">
        <v>56</v>
      </c>
      <c r="K455" s="27"/>
      <c r="L455" s="28" t="s">
        <v>57</v>
      </c>
      <c r="M455" s="29" t="str">
        <f t="shared" si="35"/>
        <v>✓ OK</v>
      </c>
      <c r="N455" s="43">
        <v>46193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2169</v>
      </c>
      <c r="C456" s="41" t="s">
        <v>2170</v>
      </c>
      <c r="D456" s="39" t="s">
        <v>1268</v>
      </c>
      <c r="E456" s="43">
        <v>46125</v>
      </c>
      <c r="F456" s="26" t="s">
        <v>55</v>
      </c>
      <c r="G456" s="26" t="s">
        <v>56</v>
      </c>
      <c r="H456" s="26" t="s">
        <v>57</v>
      </c>
      <c r="I456" s="26" t="s">
        <v>58</v>
      </c>
      <c r="J456" s="26" t="s">
        <v>56</v>
      </c>
      <c r="K456" s="27"/>
      <c r="L456" s="28" t="s">
        <v>57</v>
      </c>
      <c r="M456" s="29" t="str">
        <f t="shared" si="35"/>
        <v>✓ OK</v>
      </c>
      <c r="N456" s="43">
        <v>46193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2171</v>
      </c>
      <c r="C457" s="25" t="s">
        <v>2172</v>
      </c>
      <c r="D457" s="23" t="s">
        <v>1268</v>
      </c>
      <c r="E457" s="43">
        <v>46125</v>
      </c>
      <c r="F457" s="26" t="s">
        <v>55</v>
      </c>
      <c r="G457" s="26" t="s">
        <v>56</v>
      </c>
      <c r="H457" s="26" t="s">
        <v>57</v>
      </c>
      <c r="I457" s="26" t="s">
        <v>58</v>
      </c>
      <c r="J457" s="26" t="s">
        <v>56</v>
      </c>
      <c r="K457" s="27"/>
      <c r="L457" s="28" t="s">
        <v>57</v>
      </c>
      <c r="M457" s="29" t="str">
        <f t="shared" si="35"/>
        <v>✓ OK</v>
      </c>
      <c r="N457" s="43">
        <v>46193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2173</v>
      </c>
      <c r="C458" s="41" t="s">
        <v>2174</v>
      </c>
      <c r="D458" s="39" t="s">
        <v>1268</v>
      </c>
      <c r="E458" s="43">
        <v>46125</v>
      </c>
      <c r="F458" s="26" t="s">
        <v>55</v>
      </c>
      <c r="G458" s="26" t="s">
        <v>56</v>
      </c>
      <c r="H458" s="26" t="s">
        <v>57</v>
      </c>
      <c r="I458" s="26" t="s">
        <v>58</v>
      </c>
      <c r="J458" s="26" t="s">
        <v>56</v>
      </c>
      <c r="K458" s="27"/>
      <c r="L458" s="28" t="s">
        <v>57</v>
      </c>
      <c r="M458" s="29" t="str">
        <f t="shared" si="35"/>
        <v>✓ OK</v>
      </c>
      <c r="N458" s="43">
        <v>46193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2175</v>
      </c>
      <c r="C459" s="25" t="s">
        <v>2176</v>
      </c>
      <c r="D459" s="23" t="s">
        <v>1268</v>
      </c>
      <c r="E459" s="43">
        <v>46125</v>
      </c>
      <c r="F459" s="26" t="s">
        <v>55</v>
      </c>
      <c r="G459" s="26" t="s">
        <v>56</v>
      </c>
      <c r="H459" s="26" t="s">
        <v>57</v>
      </c>
      <c r="I459" s="26" t="s">
        <v>58</v>
      </c>
      <c r="J459" s="26" t="s">
        <v>56</v>
      </c>
      <c r="K459" s="27"/>
      <c r="L459" s="28" t="s">
        <v>57</v>
      </c>
      <c r="M459" s="29" t="str">
        <f t="shared" si="35"/>
        <v>✓ OK</v>
      </c>
      <c r="N459" s="43">
        <v>46193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2177</v>
      </c>
      <c r="C460" s="41" t="s">
        <v>2178</v>
      </c>
      <c r="D460" s="39" t="s">
        <v>1268</v>
      </c>
      <c r="E460" s="43">
        <v>46125</v>
      </c>
      <c r="F460" s="26" t="s">
        <v>55</v>
      </c>
      <c r="G460" s="26" t="s">
        <v>56</v>
      </c>
      <c r="H460" s="26" t="s">
        <v>57</v>
      </c>
      <c r="I460" s="26" t="s">
        <v>58</v>
      </c>
      <c r="J460" s="26" t="s">
        <v>56</v>
      </c>
      <c r="K460" s="27"/>
      <c r="L460" s="28" t="s">
        <v>57</v>
      </c>
      <c r="M460" s="29" t="str">
        <f t="shared" si="35"/>
        <v>✓ OK</v>
      </c>
      <c r="N460" s="43">
        <v>46193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2179</v>
      </c>
      <c r="C461" s="25" t="s">
        <v>2180</v>
      </c>
      <c r="D461" s="23" t="s">
        <v>1268</v>
      </c>
      <c r="E461" s="43">
        <v>46125</v>
      </c>
      <c r="F461" s="26" t="s">
        <v>55</v>
      </c>
      <c r="G461" s="26" t="s">
        <v>56</v>
      </c>
      <c r="H461" s="26" t="s">
        <v>57</v>
      </c>
      <c r="I461" s="26" t="s">
        <v>58</v>
      </c>
      <c r="J461" s="26" t="s">
        <v>56</v>
      </c>
      <c r="K461" s="27"/>
      <c r="L461" s="28" t="s">
        <v>57</v>
      </c>
      <c r="M461" s="29" t="str">
        <f t="shared" si="35"/>
        <v>✓ OK</v>
      </c>
      <c r="N461" s="43">
        <v>46193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2181</v>
      </c>
      <c r="C462" s="41" t="s">
        <v>2182</v>
      </c>
      <c r="D462" s="39" t="s">
        <v>1268</v>
      </c>
      <c r="E462" s="43">
        <v>46125</v>
      </c>
      <c r="F462" s="26" t="s">
        <v>55</v>
      </c>
      <c r="G462" s="26" t="s">
        <v>56</v>
      </c>
      <c r="H462" s="26" t="s">
        <v>57</v>
      </c>
      <c r="I462" s="26" t="s">
        <v>58</v>
      </c>
      <c r="J462" s="26" t="s">
        <v>56</v>
      </c>
      <c r="K462" s="27"/>
      <c r="L462" s="28" t="s">
        <v>57</v>
      </c>
      <c r="M462" s="29" t="str">
        <f t="shared" si="35"/>
        <v>✓ OK</v>
      </c>
      <c r="N462" s="43">
        <v>46193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2183</v>
      </c>
      <c r="C463" s="25" t="s">
        <v>2184</v>
      </c>
      <c r="D463" s="23" t="s">
        <v>1268</v>
      </c>
      <c r="E463" s="43">
        <v>46125</v>
      </c>
      <c r="F463" s="26" t="s">
        <v>55</v>
      </c>
      <c r="G463" s="26" t="s">
        <v>56</v>
      </c>
      <c r="H463" s="26" t="s">
        <v>57</v>
      </c>
      <c r="I463" s="26" t="s">
        <v>58</v>
      </c>
      <c r="J463" s="26" t="s">
        <v>56</v>
      </c>
      <c r="K463" s="27"/>
      <c r="L463" s="28" t="s">
        <v>57</v>
      </c>
      <c r="M463" s="29" t="str">
        <f t="shared" si="35"/>
        <v>✓ OK</v>
      </c>
      <c r="N463" s="43">
        <v>46193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2185</v>
      </c>
      <c r="C464" s="41" t="s">
        <v>2186</v>
      </c>
      <c r="D464" s="39" t="s">
        <v>1268</v>
      </c>
      <c r="E464" s="43">
        <v>46125</v>
      </c>
      <c r="F464" s="26" t="s">
        <v>55</v>
      </c>
      <c r="G464" s="26" t="s">
        <v>56</v>
      </c>
      <c r="H464" s="26" t="s">
        <v>57</v>
      </c>
      <c r="I464" s="26" t="s">
        <v>58</v>
      </c>
      <c r="J464" s="26" t="s">
        <v>56</v>
      </c>
      <c r="K464" s="27"/>
      <c r="L464" s="28" t="s">
        <v>57</v>
      </c>
      <c r="M464" s="29" t="str">
        <f t="shared" si="35"/>
        <v>✓ OK</v>
      </c>
      <c r="N464" s="43">
        <v>46193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2187</v>
      </c>
      <c r="C465" s="25" t="s">
        <v>2188</v>
      </c>
      <c r="D465" s="23" t="s">
        <v>1268</v>
      </c>
      <c r="E465" s="43">
        <v>46125</v>
      </c>
      <c r="F465" s="26" t="s">
        <v>55</v>
      </c>
      <c r="G465" s="26" t="s">
        <v>56</v>
      </c>
      <c r="H465" s="26" t="s">
        <v>57</v>
      </c>
      <c r="I465" s="26" t="s">
        <v>58</v>
      </c>
      <c r="J465" s="26" t="s">
        <v>56</v>
      </c>
      <c r="K465" s="27"/>
      <c r="L465" s="28" t="s">
        <v>57</v>
      </c>
      <c r="M465" s="29" t="str">
        <f t="shared" si="35"/>
        <v>✓ OK</v>
      </c>
      <c r="N465" s="43">
        <v>46193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2189</v>
      </c>
      <c r="C466" s="41" t="s">
        <v>2190</v>
      </c>
      <c r="D466" s="39" t="s">
        <v>1268</v>
      </c>
      <c r="E466" s="43">
        <v>46125</v>
      </c>
      <c r="F466" s="26" t="s">
        <v>55</v>
      </c>
      <c r="G466" s="26" t="s">
        <v>56</v>
      </c>
      <c r="H466" s="26" t="s">
        <v>57</v>
      </c>
      <c r="I466" s="26" t="s">
        <v>58</v>
      </c>
      <c r="J466" s="26" t="s">
        <v>56</v>
      </c>
      <c r="K466" s="27"/>
      <c r="L466" s="28" t="s">
        <v>57</v>
      </c>
      <c r="M466" s="29" t="str">
        <f t="shared" si="35"/>
        <v>✓ OK</v>
      </c>
      <c r="N466" s="43">
        <v>46193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2191</v>
      </c>
      <c r="C467" s="25" t="s">
        <v>2192</v>
      </c>
      <c r="D467" s="23" t="s">
        <v>1268</v>
      </c>
      <c r="E467" s="43">
        <v>46125</v>
      </c>
      <c r="F467" s="26" t="s">
        <v>55</v>
      </c>
      <c r="G467" s="26" t="s">
        <v>56</v>
      </c>
      <c r="H467" s="26" t="s">
        <v>57</v>
      </c>
      <c r="I467" s="26" t="s">
        <v>58</v>
      </c>
      <c r="J467" s="26" t="s">
        <v>56</v>
      </c>
      <c r="K467" s="27"/>
      <c r="L467" s="28" t="s">
        <v>57</v>
      </c>
      <c r="M467" s="29" t="str">
        <f t="shared" si="35"/>
        <v>✓ OK</v>
      </c>
      <c r="N467" s="43">
        <v>46193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2193</v>
      </c>
      <c r="C468" s="41" t="s">
        <v>2194</v>
      </c>
      <c r="D468" s="39" t="s">
        <v>1268</v>
      </c>
      <c r="E468" s="43">
        <v>46125</v>
      </c>
      <c r="F468" s="26" t="s">
        <v>55</v>
      </c>
      <c r="G468" s="26" t="s">
        <v>56</v>
      </c>
      <c r="H468" s="26" t="s">
        <v>57</v>
      </c>
      <c r="I468" s="26" t="s">
        <v>58</v>
      </c>
      <c r="J468" s="26" t="s">
        <v>56</v>
      </c>
      <c r="K468" s="27"/>
      <c r="L468" s="28" t="s">
        <v>57</v>
      </c>
      <c r="M468" s="29" t="str">
        <f t="shared" si="35"/>
        <v>✓ OK</v>
      </c>
      <c r="N468" s="43">
        <v>46193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2195</v>
      </c>
      <c r="C469" s="25" t="s">
        <v>2196</v>
      </c>
      <c r="D469" s="23" t="s">
        <v>1268</v>
      </c>
      <c r="E469" s="43">
        <v>46125</v>
      </c>
      <c r="F469" s="26" t="s">
        <v>55</v>
      </c>
      <c r="G469" s="26" t="s">
        <v>56</v>
      </c>
      <c r="H469" s="26" t="s">
        <v>57</v>
      </c>
      <c r="I469" s="26" t="s">
        <v>58</v>
      </c>
      <c r="J469" s="26" t="s">
        <v>56</v>
      </c>
      <c r="K469" s="27"/>
      <c r="L469" s="28" t="s">
        <v>57</v>
      </c>
      <c r="M469" s="29" t="str">
        <f t="shared" si="35"/>
        <v>✓ OK</v>
      </c>
      <c r="N469" s="43">
        <v>46193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2197</v>
      </c>
      <c r="C470" s="41" t="s">
        <v>2198</v>
      </c>
      <c r="D470" s="39" t="s">
        <v>1268</v>
      </c>
      <c r="E470" s="43">
        <v>46125</v>
      </c>
      <c r="F470" s="26" t="s">
        <v>55</v>
      </c>
      <c r="G470" s="26" t="s">
        <v>56</v>
      </c>
      <c r="H470" s="26" t="s">
        <v>57</v>
      </c>
      <c r="I470" s="26" t="s">
        <v>58</v>
      </c>
      <c r="J470" s="26" t="s">
        <v>56</v>
      </c>
      <c r="K470" s="27"/>
      <c r="L470" s="28" t="s">
        <v>57</v>
      </c>
      <c r="M470" s="29" t="str">
        <f t="shared" si="35"/>
        <v>✓ OK</v>
      </c>
      <c r="N470" s="43">
        <v>46193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2199</v>
      </c>
      <c r="C471" s="25" t="s">
        <v>2200</v>
      </c>
      <c r="D471" s="23" t="s">
        <v>1268</v>
      </c>
      <c r="E471" s="43">
        <v>46125</v>
      </c>
      <c r="F471" s="26" t="s">
        <v>55</v>
      </c>
      <c r="G471" s="26" t="s">
        <v>56</v>
      </c>
      <c r="H471" s="26" t="s">
        <v>57</v>
      </c>
      <c r="I471" s="26" t="s">
        <v>58</v>
      </c>
      <c r="J471" s="26" t="s">
        <v>56</v>
      </c>
      <c r="K471" s="27"/>
      <c r="L471" s="28" t="s">
        <v>57</v>
      </c>
      <c r="M471" s="29" t="str">
        <f t="shared" si="35"/>
        <v>✓ OK</v>
      </c>
      <c r="N471" s="43">
        <v>46193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2201</v>
      </c>
      <c r="C472" s="41" t="s">
        <v>2202</v>
      </c>
      <c r="D472" s="39" t="s">
        <v>1268</v>
      </c>
      <c r="E472" s="43">
        <v>46125</v>
      </c>
      <c r="F472" s="26" t="s">
        <v>55</v>
      </c>
      <c r="G472" s="26" t="s">
        <v>56</v>
      </c>
      <c r="H472" s="26" t="s">
        <v>57</v>
      </c>
      <c r="I472" s="26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43">
        <v>46193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2203</v>
      </c>
      <c r="C473" s="25" t="s">
        <v>2204</v>
      </c>
      <c r="D473" s="23" t="s">
        <v>1268</v>
      </c>
      <c r="E473" s="43">
        <v>46125</v>
      </c>
      <c r="F473" s="26" t="s">
        <v>55</v>
      </c>
      <c r="G473" s="26" t="s">
        <v>56</v>
      </c>
      <c r="H473" s="26" t="s">
        <v>57</v>
      </c>
      <c r="I473" s="26" t="s">
        <v>58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43">
        <v>46193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2205</v>
      </c>
      <c r="C474" s="41" t="s">
        <v>2206</v>
      </c>
      <c r="D474" s="39" t="s">
        <v>1268</v>
      </c>
      <c r="E474" s="43">
        <v>46125</v>
      </c>
      <c r="F474" s="26" t="s">
        <v>55</v>
      </c>
      <c r="G474" s="26" t="s">
        <v>56</v>
      </c>
      <c r="H474" s="26" t="s">
        <v>57</v>
      </c>
      <c r="I474" s="26" t="s">
        <v>58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43">
        <v>46193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2207</v>
      </c>
      <c r="C475" s="25" t="s">
        <v>2208</v>
      </c>
      <c r="D475" s="23" t="s">
        <v>1268</v>
      </c>
      <c r="E475" s="43">
        <v>46125</v>
      </c>
      <c r="F475" s="26" t="s">
        <v>55</v>
      </c>
      <c r="G475" s="26" t="s">
        <v>56</v>
      </c>
      <c r="H475" s="26" t="s">
        <v>57</v>
      </c>
      <c r="I475" s="26" t="s">
        <v>58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43">
        <v>46193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2209</v>
      </c>
      <c r="C476" s="41" t="s">
        <v>2210</v>
      </c>
      <c r="D476" s="39" t="s">
        <v>1268</v>
      </c>
      <c r="E476" s="43">
        <v>46125</v>
      </c>
      <c r="F476" s="26" t="s">
        <v>55</v>
      </c>
      <c r="G476" s="26" t="s">
        <v>56</v>
      </c>
      <c r="H476" s="26" t="s">
        <v>57</v>
      </c>
      <c r="I476" s="26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43">
        <v>46193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2211</v>
      </c>
      <c r="C477" s="25" t="s">
        <v>2212</v>
      </c>
      <c r="D477" s="23" t="s">
        <v>1268</v>
      </c>
      <c r="E477" s="43">
        <v>46125</v>
      </c>
      <c r="F477" s="26" t="s">
        <v>55</v>
      </c>
      <c r="G477" s="26" t="s">
        <v>56</v>
      </c>
      <c r="H477" s="26" t="s">
        <v>57</v>
      </c>
      <c r="I477" s="26" t="s">
        <v>58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43">
        <v>46193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2213</v>
      </c>
      <c r="C478" s="41" t="s">
        <v>2214</v>
      </c>
      <c r="D478" s="39" t="s">
        <v>1268</v>
      </c>
      <c r="E478" s="43">
        <v>46125</v>
      </c>
      <c r="F478" s="26" t="s">
        <v>55</v>
      </c>
      <c r="G478" s="26" t="s">
        <v>56</v>
      </c>
      <c r="H478" s="26" t="s">
        <v>57</v>
      </c>
      <c r="I478" s="26" t="s">
        <v>58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43">
        <v>46193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2215</v>
      </c>
      <c r="C479" s="25" t="s">
        <v>2216</v>
      </c>
      <c r="D479" s="23" t="s">
        <v>1268</v>
      </c>
      <c r="E479" s="43">
        <v>46125</v>
      </c>
      <c r="F479" s="26" t="s">
        <v>55</v>
      </c>
      <c r="G479" s="26" t="s">
        <v>56</v>
      </c>
      <c r="H479" s="26" t="s">
        <v>57</v>
      </c>
      <c r="I479" s="26" t="s">
        <v>58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43">
        <v>46193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2217</v>
      </c>
      <c r="C480" s="41" t="s">
        <v>2218</v>
      </c>
      <c r="D480" s="39" t="s">
        <v>1268</v>
      </c>
      <c r="E480" s="43">
        <v>46125</v>
      </c>
      <c r="F480" s="26" t="s">
        <v>55</v>
      </c>
      <c r="G480" s="26" t="s">
        <v>56</v>
      </c>
      <c r="H480" s="26" t="s">
        <v>57</v>
      </c>
      <c r="I480" s="26" t="s">
        <v>58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43">
        <v>46193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2219</v>
      </c>
      <c r="C481" s="25" t="s">
        <v>2220</v>
      </c>
      <c r="D481" s="23" t="s">
        <v>1268</v>
      </c>
      <c r="E481" s="43">
        <v>46125</v>
      </c>
      <c r="F481" s="26" t="s">
        <v>55</v>
      </c>
      <c r="G481" s="26" t="s">
        <v>56</v>
      </c>
      <c r="H481" s="26" t="s">
        <v>57</v>
      </c>
      <c r="I481" s="26" t="s">
        <v>58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43">
        <v>46193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2221</v>
      </c>
      <c r="C482" s="41" t="s">
        <v>2222</v>
      </c>
      <c r="D482" s="39" t="s">
        <v>1268</v>
      </c>
      <c r="E482" s="43">
        <v>46125</v>
      </c>
      <c r="F482" s="26" t="s">
        <v>55</v>
      </c>
      <c r="G482" s="26" t="s">
        <v>56</v>
      </c>
      <c r="H482" s="26" t="s">
        <v>57</v>
      </c>
      <c r="I482" s="26" t="s">
        <v>58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43">
        <v>46193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2223</v>
      </c>
      <c r="C483" s="25" t="s">
        <v>2224</v>
      </c>
      <c r="D483" s="23" t="s">
        <v>1268</v>
      </c>
      <c r="E483" s="43">
        <v>46125</v>
      </c>
      <c r="F483" s="26" t="s">
        <v>55</v>
      </c>
      <c r="G483" s="26" t="s">
        <v>56</v>
      </c>
      <c r="H483" s="26" t="s">
        <v>57</v>
      </c>
      <c r="I483" s="26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43">
        <v>46193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2225</v>
      </c>
      <c r="C484" s="41" t="s">
        <v>2226</v>
      </c>
      <c r="D484" s="39" t="s">
        <v>1268</v>
      </c>
      <c r="E484" s="43">
        <v>46125</v>
      </c>
      <c r="F484" s="26" t="s">
        <v>55</v>
      </c>
      <c r="G484" s="26" t="s">
        <v>56</v>
      </c>
      <c r="H484" s="26" t="s">
        <v>57</v>
      </c>
      <c r="I484" s="26" t="s">
        <v>58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43">
        <v>46193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2227</v>
      </c>
      <c r="C485" s="25" t="s">
        <v>2228</v>
      </c>
      <c r="D485" s="23" t="s">
        <v>1268</v>
      </c>
      <c r="E485" s="43">
        <v>46125</v>
      </c>
      <c r="F485" s="26" t="s">
        <v>55</v>
      </c>
      <c r="G485" s="26" t="s">
        <v>56</v>
      </c>
      <c r="H485" s="26" t="s">
        <v>57</v>
      </c>
      <c r="I485" s="26" t="s">
        <v>58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43">
        <v>46193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2229</v>
      </c>
      <c r="C486" s="41" t="s">
        <v>2230</v>
      </c>
      <c r="D486" s="39" t="s">
        <v>1268</v>
      </c>
      <c r="E486" s="43">
        <v>46125</v>
      </c>
      <c r="F486" s="26" t="s">
        <v>55</v>
      </c>
      <c r="G486" s="26" t="s">
        <v>56</v>
      </c>
      <c r="H486" s="26" t="s">
        <v>57</v>
      </c>
      <c r="I486" s="26" t="s">
        <v>58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43">
        <v>46193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2231</v>
      </c>
      <c r="C487" s="25" t="s">
        <v>2232</v>
      </c>
      <c r="D487" s="23" t="s">
        <v>1268</v>
      </c>
      <c r="E487" s="43">
        <v>46125</v>
      </c>
      <c r="F487" s="26" t="s">
        <v>55</v>
      </c>
      <c r="G487" s="26" t="s">
        <v>56</v>
      </c>
      <c r="H487" s="26" t="s">
        <v>57</v>
      </c>
      <c r="I487" s="26" t="s">
        <v>58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43">
        <v>46193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2233</v>
      </c>
      <c r="C488" s="41" t="s">
        <v>2234</v>
      </c>
      <c r="D488" s="39" t="s">
        <v>1268</v>
      </c>
      <c r="E488" s="43">
        <v>46125</v>
      </c>
      <c r="F488" s="26" t="s">
        <v>55</v>
      </c>
      <c r="G488" s="26" t="s">
        <v>56</v>
      </c>
      <c r="H488" s="26" t="s">
        <v>57</v>
      </c>
      <c r="I488" s="26" t="s">
        <v>58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43">
        <v>46193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2235</v>
      </c>
      <c r="C489" s="25" t="s">
        <v>2236</v>
      </c>
      <c r="D489" s="23" t="s">
        <v>2237</v>
      </c>
      <c r="E489" s="43">
        <v>46126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3">
        <v>46193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2238</v>
      </c>
      <c r="C490" s="41" t="s">
        <v>2239</v>
      </c>
      <c r="D490" s="39" t="s">
        <v>2237</v>
      </c>
      <c r="E490" s="43">
        <v>46126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3">
        <v>46193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2240</v>
      </c>
      <c r="C491" s="25" t="s">
        <v>2241</v>
      </c>
      <c r="D491" s="23" t="s">
        <v>2237</v>
      </c>
      <c r="E491" s="43">
        <v>46126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3">
        <v>46193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2242</v>
      </c>
      <c r="C492" s="41" t="s">
        <v>2243</v>
      </c>
      <c r="D492" s="39" t="s">
        <v>2237</v>
      </c>
      <c r="E492" s="43">
        <v>46126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3">
        <v>46193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2244</v>
      </c>
      <c r="C493" s="25" t="s">
        <v>2245</v>
      </c>
      <c r="D493" s="23" t="s">
        <v>2237</v>
      </c>
      <c r="E493" s="43">
        <v>46126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3">
        <v>46193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2246</v>
      </c>
      <c r="C494" s="41" t="s">
        <v>2247</v>
      </c>
      <c r="D494" s="39" t="s">
        <v>2237</v>
      </c>
      <c r="E494" s="43">
        <v>46126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3">
        <v>46193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2248</v>
      </c>
      <c r="C495" s="25" t="s">
        <v>2249</v>
      </c>
      <c r="D495" s="23" t="s">
        <v>2237</v>
      </c>
      <c r="E495" s="43">
        <v>46126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3">
        <v>46193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2250</v>
      </c>
      <c r="C496" s="41" t="s">
        <v>2251</v>
      </c>
      <c r="D496" s="39" t="s">
        <v>2237</v>
      </c>
      <c r="E496" s="43">
        <v>46126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3">
        <v>46193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2252</v>
      </c>
      <c r="C497" s="25" t="s">
        <v>2253</v>
      </c>
      <c r="D497" s="23" t="s">
        <v>2237</v>
      </c>
      <c r="E497" s="43">
        <v>46126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3">
        <v>46193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2254</v>
      </c>
      <c r="C498" s="41" t="s">
        <v>2255</v>
      </c>
      <c r="D498" s="39" t="s">
        <v>2237</v>
      </c>
      <c r="E498" s="43">
        <v>46126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3">
        <v>46193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2256</v>
      </c>
      <c r="C499" s="25" t="s">
        <v>2257</v>
      </c>
      <c r="D499" s="23" t="s">
        <v>2237</v>
      </c>
      <c r="E499" s="43">
        <v>46126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3">
        <v>46193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2258</v>
      </c>
      <c r="C500" s="41" t="s">
        <v>2259</v>
      </c>
      <c r="D500" s="39" t="s">
        <v>2237</v>
      </c>
      <c r="E500" s="43">
        <v>46126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3">
        <v>46193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2260</v>
      </c>
      <c r="C501" s="25" t="s">
        <v>2261</v>
      </c>
      <c r="D501" s="23" t="s">
        <v>2237</v>
      </c>
      <c r="E501" s="43">
        <v>46126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3">
        <v>46193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2262</v>
      </c>
      <c r="C502" s="41" t="s">
        <v>2263</v>
      </c>
      <c r="D502" s="39" t="s">
        <v>2237</v>
      </c>
      <c r="E502" s="43">
        <v>46126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3">
        <v>46193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2264</v>
      </c>
      <c r="C503" s="25" t="s">
        <v>2265</v>
      </c>
      <c r="D503" s="23" t="s">
        <v>2237</v>
      </c>
      <c r="E503" s="43">
        <v>46126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3">
        <v>46193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2266</v>
      </c>
      <c r="C504" s="41" t="s">
        <v>2267</v>
      </c>
      <c r="D504" s="39" t="s">
        <v>2237</v>
      </c>
      <c r="E504" s="43">
        <v>46126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3">
        <v>46193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2268</v>
      </c>
      <c r="C505" s="25" t="s">
        <v>2269</v>
      </c>
      <c r="D505" s="23" t="s">
        <v>2237</v>
      </c>
      <c r="E505" s="43">
        <v>46126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3">
        <v>46193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2270</v>
      </c>
      <c r="C506" s="41" t="s">
        <v>2271</v>
      </c>
      <c r="D506" s="39" t="s">
        <v>2237</v>
      </c>
      <c r="E506" s="43">
        <v>46126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3">
        <v>46193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2272</v>
      </c>
      <c r="C507" s="25" t="s">
        <v>2273</v>
      </c>
      <c r="D507" s="23" t="s">
        <v>2237</v>
      </c>
      <c r="E507" s="43">
        <v>46126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3">
        <v>46193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2274</v>
      </c>
      <c r="C508" s="41" t="s">
        <v>2275</v>
      </c>
      <c r="D508" s="39" t="s">
        <v>2237</v>
      </c>
      <c r="E508" s="43">
        <v>46126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3">
        <v>46193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2276</v>
      </c>
      <c r="C509" s="25" t="s">
        <v>2277</v>
      </c>
      <c r="D509" s="23" t="s">
        <v>2237</v>
      </c>
      <c r="E509" s="43">
        <v>46126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3">
        <v>46193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2278</v>
      </c>
      <c r="C510" s="41" t="s">
        <v>2279</v>
      </c>
      <c r="D510" s="39" t="s">
        <v>2237</v>
      </c>
      <c r="E510" s="43">
        <v>46126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3">
        <v>46193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2280</v>
      </c>
      <c r="C511" s="25" t="s">
        <v>2281</v>
      </c>
      <c r="D511" s="23" t="s">
        <v>2237</v>
      </c>
      <c r="E511" s="43">
        <v>46126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3">
        <v>46193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2282</v>
      </c>
      <c r="C512" s="41" t="s">
        <v>2283</v>
      </c>
      <c r="D512" s="39" t="s">
        <v>2237</v>
      </c>
      <c r="E512" s="43">
        <v>46126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3">
        <v>46193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2284</v>
      </c>
      <c r="C513" s="25" t="s">
        <v>2285</v>
      </c>
      <c r="D513" s="23" t="s">
        <v>2237</v>
      </c>
      <c r="E513" s="43">
        <v>46126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3">
        <v>46193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2286</v>
      </c>
      <c r="C514" s="41" t="s">
        <v>2287</v>
      </c>
      <c r="D514" s="39" t="s">
        <v>2237</v>
      </c>
      <c r="E514" s="43">
        <v>46126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3">
        <v>46193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2288</v>
      </c>
      <c r="C515" s="25" t="s">
        <v>2289</v>
      </c>
      <c r="D515" s="23" t="s">
        <v>2237</v>
      </c>
      <c r="E515" s="43">
        <v>46126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3">
        <v>46193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2290</v>
      </c>
      <c r="C516" s="41" t="s">
        <v>2291</v>
      </c>
      <c r="D516" s="39" t="s">
        <v>2237</v>
      </c>
      <c r="E516" s="43">
        <v>46126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3">
        <v>46193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2292</v>
      </c>
      <c r="C517" s="25" t="s">
        <v>2293</v>
      </c>
      <c r="D517" s="23" t="s">
        <v>2237</v>
      </c>
      <c r="E517" s="43">
        <v>46126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43">
        <v>46193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30"/>
      <c r="X517" s="30"/>
      <c r="Y517" s="30"/>
      <c r="Z517" s="30"/>
      <c r="AA517" s="30"/>
      <c r="AB517" s="30"/>
      <c r="AC517" s="27"/>
      <c r="AD517" s="31"/>
      <c r="AE517" s="32" t="str">
        <f t="shared" ref="AE517:AE580" si="42">IF(W517="","",IF(Z517="Yes","❌ Disc",IF(Y517="No","⚠ Missing",IF(AB517="Yes","✓ OK","⚠ Check"))))</f>
        <v/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2294</v>
      </c>
      <c r="C518" s="41" t="s">
        <v>2295</v>
      </c>
      <c r="D518" s="39" t="s">
        <v>2237</v>
      </c>
      <c r="E518" s="43">
        <v>46126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43">
        <v>46193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30"/>
      <c r="X518" s="30"/>
      <c r="Y518" s="30"/>
      <c r="Z518" s="30"/>
      <c r="AA518" s="30"/>
      <c r="AB518" s="30"/>
      <c r="AC518" s="27"/>
      <c r="AD518" s="31"/>
      <c r="AE518" s="32" t="str">
        <f t="shared" si="42"/>
        <v/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2296</v>
      </c>
      <c r="C519" s="25" t="s">
        <v>2297</v>
      </c>
      <c r="D519" s="23" t="s">
        <v>2237</v>
      </c>
      <c r="E519" s="43">
        <v>46126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43">
        <v>46193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30"/>
      <c r="X519" s="30"/>
      <c r="Y519" s="30"/>
      <c r="Z519" s="30"/>
      <c r="AA519" s="30"/>
      <c r="AB519" s="30"/>
      <c r="AC519" s="27"/>
      <c r="AD519" s="31"/>
      <c r="AE519" s="32" t="str">
        <f t="shared" si="42"/>
        <v/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2298</v>
      </c>
      <c r="C520" s="41" t="s">
        <v>2299</v>
      </c>
      <c r="D520" s="39" t="s">
        <v>2237</v>
      </c>
      <c r="E520" s="43">
        <v>46126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43">
        <v>46193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30"/>
      <c r="X520" s="30"/>
      <c r="Y520" s="30"/>
      <c r="Z520" s="30"/>
      <c r="AA520" s="30"/>
      <c r="AB520" s="30"/>
      <c r="AC520" s="27"/>
      <c r="AD520" s="31"/>
      <c r="AE520" s="32" t="str">
        <f t="shared" si="42"/>
        <v/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2300</v>
      </c>
      <c r="C521" s="25" t="s">
        <v>2301</v>
      </c>
      <c r="D521" s="23" t="s">
        <v>2237</v>
      </c>
      <c r="E521" s="43">
        <v>46126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43">
        <v>46193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30"/>
      <c r="X521" s="30"/>
      <c r="Y521" s="30"/>
      <c r="Z521" s="30"/>
      <c r="AA521" s="30"/>
      <c r="AB521" s="30"/>
      <c r="AC521" s="27"/>
      <c r="AD521" s="31"/>
      <c r="AE521" s="32" t="str">
        <f t="shared" si="42"/>
        <v/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2302</v>
      </c>
      <c r="C522" s="41" t="s">
        <v>2303</v>
      </c>
      <c r="D522" s="39" t="s">
        <v>2237</v>
      </c>
      <c r="E522" s="43">
        <v>46126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43">
        <v>46193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30"/>
      <c r="X522" s="30"/>
      <c r="Y522" s="30"/>
      <c r="Z522" s="30"/>
      <c r="AA522" s="30"/>
      <c r="AB522" s="30"/>
      <c r="AC522" s="27"/>
      <c r="AD522" s="31"/>
      <c r="AE522" s="32" t="str">
        <f t="shared" si="42"/>
        <v/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2304</v>
      </c>
      <c r="C523" s="25" t="s">
        <v>2305</v>
      </c>
      <c r="D523" s="23" t="s">
        <v>2237</v>
      </c>
      <c r="E523" s="43">
        <v>46126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43">
        <v>46193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30"/>
      <c r="X523" s="30"/>
      <c r="Y523" s="30"/>
      <c r="Z523" s="30"/>
      <c r="AA523" s="30"/>
      <c r="AB523" s="30"/>
      <c r="AC523" s="27"/>
      <c r="AD523" s="31"/>
      <c r="AE523" s="32" t="str">
        <f t="shared" si="42"/>
        <v/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2306</v>
      </c>
      <c r="C524" s="41" t="s">
        <v>2307</v>
      </c>
      <c r="D524" s="39" t="s">
        <v>2237</v>
      </c>
      <c r="E524" s="43">
        <v>46126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43">
        <v>46193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30"/>
      <c r="X524" s="30"/>
      <c r="Y524" s="30"/>
      <c r="Z524" s="30"/>
      <c r="AA524" s="30"/>
      <c r="AB524" s="30"/>
      <c r="AC524" s="27"/>
      <c r="AD524" s="31"/>
      <c r="AE524" s="32" t="str">
        <f t="shared" si="42"/>
        <v/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2308</v>
      </c>
      <c r="C525" s="25" t="s">
        <v>2309</v>
      </c>
      <c r="D525" s="23" t="s">
        <v>2237</v>
      </c>
      <c r="E525" s="43">
        <v>46126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43">
        <v>46193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30"/>
      <c r="X525" s="30"/>
      <c r="Y525" s="30"/>
      <c r="Z525" s="30"/>
      <c r="AA525" s="30"/>
      <c r="AB525" s="30"/>
      <c r="AC525" s="27"/>
      <c r="AD525" s="31"/>
      <c r="AE525" s="32" t="str">
        <f t="shared" si="42"/>
        <v/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2310</v>
      </c>
      <c r="C526" s="41" t="s">
        <v>2311</v>
      </c>
      <c r="D526" s="39" t="s">
        <v>2237</v>
      </c>
      <c r="E526" s="43">
        <v>46126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43">
        <v>46193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30"/>
      <c r="X526" s="30"/>
      <c r="Y526" s="30"/>
      <c r="Z526" s="30"/>
      <c r="AA526" s="30"/>
      <c r="AB526" s="30"/>
      <c r="AC526" s="27"/>
      <c r="AD526" s="31"/>
      <c r="AE526" s="32" t="str">
        <f t="shared" si="42"/>
        <v/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2312</v>
      </c>
      <c r="C527" s="25" t="s">
        <v>2313</v>
      </c>
      <c r="D527" s="23" t="s">
        <v>2237</v>
      </c>
      <c r="E527" s="43">
        <v>46126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43">
        <v>46193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30"/>
      <c r="X527" s="30"/>
      <c r="Y527" s="30"/>
      <c r="Z527" s="30"/>
      <c r="AA527" s="30"/>
      <c r="AB527" s="30"/>
      <c r="AC527" s="27"/>
      <c r="AD527" s="31"/>
      <c r="AE527" s="32" t="str">
        <f t="shared" si="42"/>
        <v/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2314</v>
      </c>
      <c r="C528" s="41" t="s">
        <v>2315</v>
      </c>
      <c r="D528" s="39" t="s">
        <v>2237</v>
      </c>
      <c r="E528" s="43">
        <v>46126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43">
        <v>46193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30"/>
      <c r="X528" s="30"/>
      <c r="Y528" s="30"/>
      <c r="Z528" s="30"/>
      <c r="AA528" s="30"/>
      <c r="AB528" s="30"/>
      <c r="AC528" s="27"/>
      <c r="AD528" s="31"/>
      <c r="AE528" s="32" t="str">
        <f t="shared" si="42"/>
        <v/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2316</v>
      </c>
      <c r="C529" s="25" t="s">
        <v>2317</v>
      </c>
      <c r="D529" s="23" t="s">
        <v>2237</v>
      </c>
      <c r="E529" s="43">
        <v>46126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43">
        <v>46193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30"/>
      <c r="X529" s="30"/>
      <c r="Y529" s="30"/>
      <c r="Z529" s="30"/>
      <c r="AA529" s="30"/>
      <c r="AB529" s="30"/>
      <c r="AC529" s="27"/>
      <c r="AD529" s="31"/>
      <c r="AE529" s="32" t="str">
        <f t="shared" si="42"/>
        <v/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2318</v>
      </c>
      <c r="C530" s="41" t="s">
        <v>2319</v>
      </c>
      <c r="D530" s="39" t="s">
        <v>2237</v>
      </c>
      <c r="E530" s="43">
        <v>46126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43">
        <v>46193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30"/>
      <c r="X530" s="30"/>
      <c r="Y530" s="30"/>
      <c r="Z530" s="30"/>
      <c r="AA530" s="30"/>
      <c r="AB530" s="30"/>
      <c r="AC530" s="27"/>
      <c r="AD530" s="31"/>
      <c r="AE530" s="32" t="str">
        <f t="shared" si="42"/>
        <v/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2320</v>
      </c>
      <c r="C531" s="25" t="s">
        <v>2321</v>
      </c>
      <c r="D531" s="23" t="s">
        <v>2237</v>
      </c>
      <c r="E531" s="43">
        <v>46126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43">
        <v>46193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30"/>
      <c r="X531" s="30"/>
      <c r="Y531" s="30"/>
      <c r="Z531" s="30"/>
      <c r="AA531" s="30"/>
      <c r="AB531" s="30"/>
      <c r="AC531" s="27"/>
      <c r="AD531" s="31"/>
      <c r="AE531" s="32" t="str">
        <f t="shared" si="42"/>
        <v/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2322</v>
      </c>
      <c r="C532" s="41" t="s">
        <v>2323</v>
      </c>
      <c r="D532" s="39" t="s">
        <v>2237</v>
      </c>
      <c r="E532" s="43">
        <v>46126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43">
        <v>46193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30"/>
      <c r="X532" s="30"/>
      <c r="Y532" s="30"/>
      <c r="Z532" s="30"/>
      <c r="AA532" s="30"/>
      <c r="AB532" s="30"/>
      <c r="AC532" s="27"/>
      <c r="AD532" s="31"/>
      <c r="AE532" s="32" t="str">
        <f t="shared" si="42"/>
        <v/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2324</v>
      </c>
      <c r="C533" s="25" t="s">
        <v>2325</v>
      </c>
      <c r="D533" s="23" t="s">
        <v>2237</v>
      </c>
      <c r="E533" s="43">
        <v>46126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43">
        <v>46193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30"/>
      <c r="X533" s="30"/>
      <c r="Y533" s="30"/>
      <c r="Z533" s="30"/>
      <c r="AA533" s="30"/>
      <c r="AB533" s="30"/>
      <c r="AC533" s="27"/>
      <c r="AD533" s="31"/>
      <c r="AE533" s="32" t="str">
        <f t="shared" si="42"/>
        <v/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2326</v>
      </c>
      <c r="C534" s="41" t="s">
        <v>2327</v>
      </c>
      <c r="D534" s="39" t="s">
        <v>2237</v>
      </c>
      <c r="E534" s="43">
        <v>46126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43">
        <v>46193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30"/>
      <c r="X534" s="30"/>
      <c r="Y534" s="30"/>
      <c r="Z534" s="30"/>
      <c r="AA534" s="30"/>
      <c r="AB534" s="30"/>
      <c r="AC534" s="27"/>
      <c r="AD534" s="31"/>
      <c r="AE534" s="32" t="str">
        <f t="shared" si="42"/>
        <v/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2328</v>
      </c>
      <c r="C535" s="25" t="s">
        <v>2329</v>
      </c>
      <c r="D535" s="23" t="s">
        <v>2237</v>
      </c>
      <c r="E535" s="43">
        <v>46126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43">
        <v>46193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30"/>
      <c r="X535" s="30"/>
      <c r="Y535" s="30"/>
      <c r="Z535" s="30"/>
      <c r="AA535" s="30"/>
      <c r="AB535" s="30"/>
      <c r="AC535" s="27"/>
      <c r="AD535" s="31"/>
      <c r="AE535" s="32" t="str">
        <f t="shared" si="42"/>
        <v/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2330</v>
      </c>
      <c r="C536" s="41" t="s">
        <v>2331</v>
      </c>
      <c r="D536" s="39" t="s">
        <v>2237</v>
      </c>
      <c r="E536" s="43">
        <v>46126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43">
        <v>46193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30"/>
      <c r="X536" s="30"/>
      <c r="Y536" s="30"/>
      <c r="Z536" s="30"/>
      <c r="AA536" s="30"/>
      <c r="AB536" s="30"/>
      <c r="AC536" s="27"/>
      <c r="AD536" s="31"/>
      <c r="AE536" s="32" t="str">
        <f t="shared" si="42"/>
        <v/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2332</v>
      </c>
      <c r="C537" s="25" t="s">
        <v>2333</v>
      </c>
      <c r="D537" s="23" t="s">
        <v>2237</v>
      </c>
      <c r="E537" s="43">
        <v>46126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43">
        <v>46193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30"/>
      <c r="X537" s="30"/>
      <c r="Y537" s="30"/>
      <c r="Z537" s="30"/>
      <c r="AA537" s="30"/>
      <c r="AB537" s="30"/>
      <c r="AC537" s="27"/>
      <c r="AD537" s="31"/>
      <c r="AE537" s="32" t="str">
        <f t="shared" si="42"/>
        <v/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2334</v>
      </c>
      <c r="C538" s="41" t="s">
        <v>2335</v>
      </c>
      <c r="D538" s="39" t="s">
        <v>2237</v>
      </c>
      <c r="E538" s="43">
        <v>46126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43">
        <v>46193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30"/>
      <c r="X538" s="30"/>
      <c r="Y538" s="30"/>
      <c r="Z538" s="30"/>
      <c r="AA538" s="30"/>
      <c r="AB538" s="30"/>
      <c r="AC538" s="27"/>
      <c r="AD538" s="31"/>
      <c r="AE538" s="32" t="str">
        <f t="shared" si="42"/>
        <v/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2336</v>
      </c>
      <c r="C539" s="25" t="s">
        <v>2337</v>
      </c>
      <c r="D539" s="23" t="s">
        <v>2237</v>
      </c>
      <c r="E539" s="43">
        <v>46126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43">
        <v>46193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30"/>
      <c r="X539" s="30"/>
      <c r="Y539" s="30"/>
      <c r="Z539" s="30"/>
      <c r="AA539" s="30"/>
      <c r="AB539" s="30"/>
      <c r="AC539" s="27"/>
      <c r="AD539" s="31"/>
      <c r="AE539" s="32" t="str">
        <f t="shared" si="42"/>
        <v/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2338</v>
      </c>
      <c r="C540" s="41" t="s">
        <v>2339</v>
      </c>
      <c r="D540" s="39" t="s">
        <v>2237</v>
      </c>
      <c r="E540" s="43">
        <v>46126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43">
        <v>46193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30"/>
      <c r="X540" s="30"/>
      <c r="Y540" s="30"/>
      <c r="Z540" s="30"/>
      <c r="AA540" s="30"/>
      <c r="AB540" s="30"/>
      <c r="AC540" s="27"/>
      <c r="AD540" s="31"/>
      <c r="AE540" s="32" t="str">
        <f t="shared" si="42"/>
        <v/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2340</v>
      </c>
      <c r="C541" s="25" t="s">
        <v>2341</v>
      </c>
      <c r="D541" s="23" t="s">
        <v>2237</v>
      </c>
      <c r="E541" s="43">
        <v>46126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43">
        <v>46193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30"/>
      <c r="X541" s="30"/>
      <c r="Y541" s="30"/>
      <c r="Z541" s="30"/>
      <c r="AA541" s="30"/>
      <c r="AB541" s="30"/>
      <c r="AC541" s="27"/>
      <c r="AD541" s="31"/>
      <c r="AE541" s="32" t="str">
        <f t="shared" si="42"/>
        <v/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2342</v>
      </c>
      <c r="C542" s="41" t="s">
        <v>2343</v>
      </c>
      <c r="D542" s="39" t="s">
        <v>2237</v>
      </c>
      <c r="E542" s="43">
        <v>46126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43">
        <v>46193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30"/>
      <c r="X542" s="30"/>
      <c r="Y542" s="30"/>
      <c r="Z542" s="30"/>
      <c r="AA542" s="30"/>
      <c r="AB542" s="30"/>
      <c r="AC542" s="27"/>
      <c r="AD542" s="31"/>
      <c r="AE542" s="32" t="str">
        <f t="shared" si="42"/>
        <v/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2344</v>
      </c>
      <c r="C543" s="25" t="s">
        <v>2345</v>
      </c>
      <c r="D543" s="23" t="s">
        <v>2237</v>
      </c>
      <c r="E543" s="43">
        <v>46126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43">
        <v>46193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30"/>
      <c r="X543" s="30"/>
      <c r="Y543" s="30"/>
      <c r="Z543" s="30"/>
      <c r="AA543" s="30"/>
      <c r="AB543" s="30"/>
      <c r="AC543" s="27"/>
      <c r="AD543" s="31"/>
      <c r="AE543" s="32" t="str">
        <f t="shared" si="42"/>
        <v/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2346</v>
      </c>
      <c r="C544" s="41" t="s">
        <v>2347</v>
      </c>
      <c r="D544" s="39" t="s">
        <v>2237</v>
      </c>
      <c r="E544" s="43">
        <v>46126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43">
        <v>46193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30"/>
      <c r="X544" s="30"/>
      <c r="Y544" s="30"/>
      <c r="Z544" s="30"/>
      <c r="AA544" s="30"/>
      <c r="AB544" s="30"/>
      <c r="AC544" s="27"/>
      <c r="AD544" s="31"/>
      <c r="AE544" s="32" t="str">
        <f t="shared" si="42"/>
        <v/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2348</v>
      </c>
      <c r="C545" s="25" t="s">
        <v>2349</v>
      </c>
      <c r="D545" s="23" t="s">
        <v>2237</v>
      </c>
      <c r="E545" s="43">
        <v>46126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43">
        <v>46193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30"/>
      <c r="X545" s="30"/>
      <c r="Y545" s="30"/>
      <c r="Z545" s="30"/>
      <c r="AA545" s="30"/>
      <c r="AB545" s="30"/>
      <c r="AC545" s="27"/>
      <c r="AD545" s="31"/>
      <c r="AE545" s="32" t="str">
        <f t="shared" si="42"/>
        <v/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2350</v>
      </c>
      <c r="C546" s="41" t="s">
        <v>2351</v>
      </c>
      <c r="D546" s="39" t="s">
        <v>2237</v>
      </c>
      <c r="E546" s="43">
        <v>46126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43">
        <v>46193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30"/>
      <c r="X546" s="30"/>
      <c r="Y546" s="30"/>
      <c r="Z546" s="30"/>
      <c r="AA546" s="30"/>
      <c r="AB546" s="30"/>
      <c r="AC546" s="27"/>
      <c r="AD546" s="31"/>
      <c r="AE546" s="32" t="str">
        <f t="shared" si="42"/>
        <v/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2352</v>
      </c>
      <c r="C547" s="25" t="s">
        <v>2353</v>
      </c>
      <c r="D547" s="23" t="s">
        <v>2237</v>
      </c>
      <c r="E547" s="43">
        <v>46126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43">
        <v>46193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30"/>
      <c r="X547" s="30"/>
      <c r="Y547" s="30"/>
      <c r="Z547" s="30"/>
      <c r="AA547" s="30"/>
      <c r="AB547" s="30"/>
      <c r="AC547" s="27"/>
      <c r="AD547" s="31"/>
      <c r="AE547" s="32" t="str">
        <f t="shared" si="42"/>
        <v/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2354</v>
      </c>
      <c r="C548" s="41" t="s">
        <v>2355</v>
      </c>
      <c r="D548" s="39" t="s">
        <v>2237</v>
      </c>
      <c r="E548" s="43">
        <v>46126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43">
        <v>46193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30"/>
      <c r="X548" s="30"/>
      <c r="Y548" s="30"/>
      <c r="Z548" s="30"/>
      <c r="AA548" s="30"/>
      <c r="AB548" s="30"/>
      <c r="AC548" s="27"/>
      <c r="AD548" s="31"/>
      <c r="AE548" s="32" t="str">
        <f t="shared" si="42"/>
        <v/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2356</v>
      </c>
      <c r="C549" s="25" t="s">
        <v>2357</v>
      </c>
      <c r="D549" s="23" t="s">
        <v>2237</v>
      </c>
      <c r="E549" s="43">
        <v>46126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43">
        <v>46193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30"/>
      <c r="X549" s="30"/>
      <c r="Y549" s="30"/>
      <c r="Z549" s="30"/>
      <c r="AA549" s="30"/>
      <c r="AB549" s="30"/>
      <c r="AC549" s="27"/>
      <c r="AD549" s="31"/>
      <c r="AE549" s="32" t="str">
        <f t="shared" si="42"/>
        <v/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2358</v>
      </c>
      <c r="C550" s="41" t="s">
        <v>2359</v>
      </c>
      <c r="D550" s="39" t="s">
        <v>2237</v>
      </c>
      <c r="E550" s="43">
        <v>46126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43">
        <v>46193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30"/>
      <c r="X550" s="30"/>
      <c r="Y550" s="30"/>
      <c r="Z550" s="30"/>
      <c r="AA550" s="30"/>
      <c r="AB550" s="30"/>
      <c r="AC550" s="27"/>
      <c r="AD550" s="31"/>
      <c r="AE550" s="32" t="str">
        <f t="shared" si="42"/>
        <v/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2360</v>
      </c>
      <c r="C551" s="25" t="s">
        <v>2361</v>
      </c>
      <c r="D551" s="23" t="s">
        <v>2237</v>
      </c>
      <c r="E551" s="43">
        <v>46126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43">
        <v>46193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30"/>
      <c r="X551" s="30"/>
      <c r="Y551" s="30"/>
      <c r="Z551" s="30"/>
      <c r="AA551" s="30"/>
      <c r="AB551" s="30"/>
      <c r="AC551" s="27"/>
      <c r="AD551" s="31"/>
      <c r="AE551" s="32" t="str">
        <f t="shared" si="42"/>
        <v/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2362</v>
      </c>
      <c r="C552" s="41" t="s">
        <v>2363</v>
      </c>
      <c r="D552" s="39" t="s">
        <v>2237</v>
      </c>
      <c r="E552" s="43">
        <v>46126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43">
        <v>46193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30"/>
      <c r="X552" s="30"/>
      <c r="Y552" s="30"/>
      <c r="Z552" s="30"/>
      <c r="AA552" s="30"/>
      <c r="AB552" s="30"/>
      <c r="AC552" s="27"/>
      <c r="AD552" s="31"/>
      <c r="AE552" s="32" t="str">
        <f t="shared" si="42"/>
        <v/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2364</v>
      </c>
      <c r="C553" s="25" t="s">
        <v>2365</v>
      </c>
      <c r="D553" s="23" t="s">
        <v>2237</v>
      </c>
      <c r="E553" s="43">
        <v>46126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43">
        <v>46193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30"/>
      <c r="X553" s="30"/>
      <c r="Y553" s="30"/>
      <c r="Z553" s="30"/>
      <c r="AA553" s="30"/>
      <c r="AB553" s="30"/>
      <c r="AC553" s="27"/>
      <c r="AD553" s="31"/>
      <c r="AE553" s="32" t="str">
        <f t="shared" si="42"/>
        <v/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2366</v>
      </c>
      <c r="C554" s="41" t="s">
        <v>2367</v>
      </c>
      <c r="D554" s="39" t="s">
        <v>2237</v>
      </c>
      <c r="E554" s="43">
        <v>46126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43">
        <v>46193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30"/>
      <c r="X554" s="30"/>
      <c r="Y554" s="30"/>
      <c r="Z554" s="30"/>
      <c r="AA554" s="30"/>
      <c r="AB554" s="30"/>
      <c r="AC554" s="27"/>
      <c r="AD554" s="31"/>
      <c r="AE554" s="32" t="str">
        <f t="shared" si="42"/>
        <v/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2368</v>
      </c>
      <c r="C555" s="25" t="s">
        <v>2369</v>
      </c>
      <c r="D555" s="23" t="s">
        <v>2237</v>
      </c>
      <c r="E555" s="43">
        <v>46126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43">
        <v>46193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30"/>
      <c r="X555" s="30"/>
      <c r="Y555" s="30"/>
      <c r="Z555" s="30"/>
      <c r="AA555" s="30"/>
      <c r="AB555" s="30"/>
      <c r="AC555" s="27"/>
      <c r="AD555" s="31"/>
      <c r="AE555" s="32" t="str">
        <f t="shared" si="42"/>
        <v/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2370</v>
      </c>
      <c r="C556" s="41" t="s">
        <v>2371</v>
      </c>
      <c r="D556" s="39" t="s">
        <v>2237</v>
      </c>
      <c r="E556" s="43">
        <v>46126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43">
        <v>46193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30"/>
      <c r="X556" s="30"/>
      <c r="Y556" s="30"/>
      <c r="Z556" s="30"/>
      <c r="AA556" s="30"/>
      <c r="AB556" s="30"/>
      <c r="AC556" s="27"/>
      <c r="AD556" s="31"/>
      <c r="AE556" s="32" t="str">
        <f t="shared" si="42"/>
        <v/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2372</v>
      </c>
      <c r="C557" s="25" t="s">
        <v>2373</v>
      </c>
      <c r="D557" s="23" t="s">
        <v>2237</v>
      </c>
      <c r="E557" s="43">
        <v>46126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43">
        <v>46193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30"/>
      <c r="X557" s="30"/>
      <c r="Y557" s="30"/>
      <c r="Z557" s="30"/>
      <c r="AA557" s="30"/>
      <c r="AB557" s="30"/>
      <c r="AC557" s="27"/>
      <c r="AD557" s="31"/>
      <c r="AE557" s="32" t="str">
        <f t="shared" si="42"/>
        <v/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2374</v>
      </c>
      <c r="C558" s="41" t="s">
        <v>2375</v>
      </c>
      <c r="D558" s="39" t="s">
        <v>2237</v>
      </c>
      <c r="E558" s="43">
        <v>46126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43">
        <v>46193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30"/>
      <c r="X558" s="30"/>
      <c r="Y558" s="30"/>
      <c r="Z558" s="30"/>
      <c r="AA558" s="30"/>
      <c r="AB558" s="30"/>
      <c r="AC558" s="27"/>
      <c r="AD558" s="31"/>
      <c r="AE558" s="32" t="str">
        <f t="shared" si="42"/>
        <v/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2376</v>
      </c>
      <c r="C559" s="25" t="s">
        <v>2377</v>
      </c>
      <c r="D559" s="23" t="s">
        <v>2237</v>
      </c>
      <c r="E559" s="43">
        <v>46126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43">
        <v>46193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30"/>
      <c r="X559" s="30"/>
      <c r="Y559" s="30"/>
      <c r="Z559" s="30"/>
      <c r="AA559" s="30"/>
      <c r="AB559" s="30"/>
      <c r="AC559" s="27"/>
      <c r="AD559" s="31"/>
      <c r="AE559" s="32" t="str">
        <f t="shared" si="42"/>
        <v/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2378</v>
      </c>
      <c r="C560" s="41" t="s">
        <v>2379</v>
      </c>
      <c r="D560" s="39" t="s">
        <v>2237</v>
      </c>
      <c r="E560" s="43">
        <v>46126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43">
        <v>46193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30"/>
      <c r="X560" s="30"/>
      <c r="Y560" s="30"/>
      <c r="Z560" s="30"/>
      <c r="AA560" s="30"/>
      <c r="AB560" s="30"/>
      <c r="AC560" s="27"/>
      <c r="AD560" s="31"/>
      <c r="AE560" s="32" t="str">
        <f t="shared" si="42"/>
        <v/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2380</v>
      </c>
      <c r="C561" s="25" t="s">
        <v>2381</v>
      </c>
      <c r="D561" s="23" t="s">
        <v>2237</v>
      </c>
      <c r="E561" s="43">
        <v>46126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43">
        <v>46193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30"/>
      <c r="X561" s="30"/>
      <c r="Y561" s="30"/>
      <c r="Z561" s="30"/>
      <c r="AA561" s="30"/>
      <c r="AB561" s="30"/>
      <c r="AC561" s="27"/>
      <c r="AD561" s="31"/>
      <c r="AE561" s="32" t="str">
        <f t="shared" si="42"/>
        <v/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2382</v>
      </c>
      <c r="C562" s="41" t="s">
        <v>2383</v>
      </c>
      <c r="D562" s="39" t="s">
        <v>2237</v>
      </c>
      <c r="E562" s="43">
        <v>46126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43">
        <v>46193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30"/>
      <c r="X562" s="30"/>
      <c r="Y562" s="30"/>
      <c r="Z562" s="30"/>
      <c r="AA562" s="30"/>
      <c r="AB562" s="30"/>
      <c r="AC562" s="27"/>
      <c r="AD562" s="31"/>
      <c r="AE562" s="32" t="str">
        <f t="shared" si="42"/>
        <v/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2384</v>
      </c>
      <c r="C563" s="25" t="s">
        <v>2385</v>
      </c>
      <c r="D563" s="23" t="s">
        <v>2237</v>
      </c>
      <c r="E563" s="43">
        <v>46126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43">
        <v>46193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30"/>
      <c r="X563" s="30"/>
      <c r="Y563" s="30"/>
      <c r="Z563" s="30"/>
      <c r="AA563" s="30"/>
      <c r="AB563" s="30"/>
      <c r="AC563" s="27"/>
      <c r="AD563" s="31"/>
      <c r="AE563" s="32" t="str">
        <f t="shared" si="42"/>
        <v/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2386</v>
      </c>
      <c r="C564" s="41" t="s">
        <v>2387</v>
      </c>
      <c r="D564" s="39" t="s">
        <v>2237</v>
      </c>
      <c r="E564" s="43">
        <v>46126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43">
        <v>46193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30"/>
      <c r="X564" s="30"/>
      <c r="Y564" s="30"/>
      <c r="Z564" s="30"/>
      <c r="AA564" s="30"/>
      <c r="AB564" s="30"/>
      <c r="AC564" s="27"/>
      <c r="AD564" s="31"/>
      <c r="AE564" s="32" t="str">
        <f t="shared" si="42"/>
        <v/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2388</v>
      </c>
      <c r="C565" s="25" t="s">
        <v>2389</v>
      </c>
      <c r="D565" s="23" t="s">
        <v>2237</v>
      </c>
      <c r="E565" s="43">
        <v>46126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43">
        <v>46193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30"/>
      <c r="X565" s="30"/>
      <c r="Y565" s="30"/>
      <c r="Z565" s="30"/>
      <c r="AA565" s="30"/>
      <c r="AB565" s="30"/>
      <c r="AC565" s="27"/>
      <c r="AD565" s="31"/>
      <c r="AE565" s="32" t="str">
        <f t="shared" si="42"/>
        <v/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2390</v>
      </c>
      <c r="C566" s="41" t="s">
        <v>2391</v>
      </c>
      <c r="D566" s="39" t="s">
        <v>2237</v>
      </c>
      <c r="E566" s="43">
        <v>46126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43">
        <v>46193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30"/>
      <c r="X566" s="30"/>
      <c r="Y566" s="30"/>
      <c r="Z566" s="30"/>
      <c r="AA566" s="30"/>
      <c r="AB566" s="30"/>
      <c r="AC566" s="27"/>
      <c r="AD566" s="31"/>
      <c r="AE566" s="32" t="str">
        <f t="shared" si="42"/>
        <v/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2392</v>
      </c>
      <c r="C567" s="25" t="s">
        <v>2393</v>
      </c>
      <c r="D567" s="23" t="s">
        <v>2237</v>
      </c>
      <c r="E567" s="43">
        <v>46126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43">
        <v>46193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30"/>
      <c r="X567" s="30"/>
      <c r="Y567" s="30"/>
      <c r="Z567" s="30"/>
      <c r="AA567" s="30"/>
      <c r="AB567" s="30"/>
      <c r="AC567" s="27"/>
      <c r="AD567" s="31"/>
      <c r="AE567" s="32" t="str">
        <f t="shared" si="42"/>
        <v/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2394</v>
      </c>
      <c r="C568" s="41" t="s">
        <v>2395</v>
      </c>
      <c r="D568" s="39" t="s">
        <v>2237</v>
      </c>
      <c r="E568" s="43">
        <v>46126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43">
        <v>46193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30"/>
      <c r="X568" s="30"/>
      <c r="Y568" s="30"/>
      <c r="Z568" s="30"/>
      <c r="AA568" s="30"/>
      <c r="AB568" s="30"/>
      <c r="AC568" s="27"/>
      <c r="AD568" s="31"/>
      <c r="AE568" s="32" t="str">
        <f t="shared" si="42"/>
        <v/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2396</v>
      </c>
      <c r="C569" s="25" t="s">
        <v>2397</v>
      </c>
      <c r="D569" s="23" t="s">
        <v>2237</v>
      </c>
      <c r="E569" s="43">
        <v>46126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43">
        <v>46193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30"/>
      <c r="X569" s="30"/>
      <c r="Y569" s="30"/>
      <c r="Z569" s="30"/>
      <c r="AA569" s="30"/>
      <c r="AB569" s="30"/>
      <c r="AC569" s="27"/>
      <c r="AD569" s="31"/>
      <c r="AE569" s="32" t="str">
        <f t="shared" si="42"/>
        <v/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2398</v>
      </c>
      <c r="C570" s="41" t="s">
        <v>2399</v>
      </c>
      <c r="D570" s="39" t="s">
        <v>2237</v>
      </c>
      <c r="E570" s="43">
        <v>46126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43">
        <v>46193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30"/>
      <c r="X570" s="30"/>
      <c r="Y570" s="30"/>
      <c r="Z570" s="30"/>
      <c r="AA570" s="30"/>
      <c r="AB570" s="30"/>
      <c r="AC570" s="27"/>
      <c r="AD570" s="31"/>
      <c r="AE570" s="32" t="str">
        <f t="shared" si="42"/>
        <v/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2400</v>
      </c>
      <c r="C571" s="25" t="s">
        <v>2401</v>
      </c>
      <c r="D571" s="23" t="s">
        <v>2237</v>
      </c>
      <c r="E571" s="43">
        <v>46126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43">
        <v>46193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30"/>
      <c r="X571" s="30"/>
      <c r="Y571" s="30"/>
      <c r="Z571" s="30"/>
      <c r="AA571" s="30"/>
      <c r="AB571" s="30"/>
      <c r="AC571" s="27"/>
      <c r="AD571" s="31"/>
      <c r="AE571" s="32" t="str">
        <f t="shared" si="42"/>
        <v/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2402</v>
      </c>
      <c r="C572" s="41" t="s">
        <v>2403</v>
      </c>
      <c r="D572" s="39" t="s">
        <v>2237</v>
      </c>
      <c r="E572" s="43">
        <v>46126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43">
        <v>46193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30"/>
      <c r="X572" s="30"/>
      <c r="Y572" s="30"/>
      <c r="Z572" s="30"/>
      <c r="AA572" s="30"/>
      <c r="AB572" s="30"/>
      <c r="AC572" s="27"/>
      <c r="AD572" s="31"/>
      <c r="AE572" s="32" t="str">
        <f t="shared" si="42"/>
        <v/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2404</v>
      </c>
      <c r="C573" s="25" t="s">
        <v>2405</v>
      </c>
      <c r="D573" s="23" t="s">
        <v>2237</v>
      </c>
      <c r="E573" s="43">
        <v>46126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43">
        <v>46193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30"/>
      <c r="X573" s="30"/>
      <c r="Y573" s="30"/>
      <c r="Z573" s="30"/>
      <c r="AA573" s="30"/>
      <c r="AB573" s="30"/>
      <c r="AC573" s="27"/>
      <c r="AD573" s="31"/>
      <c r="AE573" s="32" t="str">
        <f t="shared" si="42"/>
        <v/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2406</v>
      </c>
      <c r="C574" s="41" t="s">
        <v>2407</v>
      </c>
      <c r="D574" s="39" t="s">
        <v>2237</v>
      </c>
      <c r="E574" s="43">
        <v>46126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43">
        <v>46193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30"/>
      <c r="X574" s="30"/>
      <c r="Y574" s="30"/>
      <c r="Z574" s="30"/>
      <c r="AA574" s="30"/>
      <c r="AB574" s="30"/>
      <c r="AC574" s="27"/>
      <c r="AD574" s="31"/>
      <c r="AE574" s="32" t="str">
        <f t="shared" si="42"/>
        <v/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2408</v>
      </c>
      <c r="C575" s="25" t="s">
        <v>2409</v>
      </c>
      <c r="D575" s="23" t="s">
        <v>2237</v>
      </c>
      <c r="E575" s="43">
        <v>46126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43">
        <v>46193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30"/>
      <c r="X575" s="30"/>
      <c r="Y575" s="30"/>
      <c r="Z575" s="30"/>
      <c r="AA575" s="30"/>
      <c r="AB575" s="30"/>
      <c r="AC575" s="27"/>
      <c r="AD575" s="31"/>
      <c r="AE575" s="32" t="str">
        <f t="shared" si="42"/>
        <v/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2410</v>
      </c>
      <c r="C576" s="41" t="s">
        <v>2411</v>
      </c>
      <c r="D576" s="39" t="s">
        <v>2237</v>
      </c>
      <c r="E576" s="43">
        <v>46126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43">
        <v>46193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30"/>
      <c r="X576" s="30"/>
      <c r="Y576" s="30"/>
      <c r="Z576" s="30"/>
      <c r="AA576" s="30"/>
      <c r="AB576" s="30"/>
      <c r="AC576" s="27"/>
      <c r="AD576" s="31"/>
      <c r="AE576" s="32" t="str">
        <f t="shared" si="42"/>
        <v/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2412</v>
      </c>
      <c r="C577" s="25" t="s">
        <v>2413</v>
      </c>
      <c r="D577" s="23" t="s">
        <v>2237</v>
      </c>
      <c r="E577" s="43">
        <v>46126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43">
        <v>46193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30"/>
      <c r="X577" s="30"/>
      <c r="Y577" s="30"/>
      <c r="Z577" s="30"/>
      <c r="AA577" s="30"/>
      <c r="AB577" s="30"/>
      <c r="AC577" s="27"/>
      <c r="AD577" s="31"/>
      <c r="AE577" s="32" t="str">
        <f t="shared" si="42"/>
        <v/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2414</v>
      </c>
      <c r="C578" s="41" t="s">
        <v>2415</v>
      </c>
      <c r="D578" s="39" t="s">
        <v>2237</v>
      </c>
      <c r="E578" s="43">
        <v>46126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43">
        <v>46193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30"/>
      <c r="X578" s="30"/>
      <c r="Y578" s="30"/>
      <c r="Z578" s="30"/>
      <c r="AA578" s="30"/>
      <c r="AB578" s="30"/>
      <c r="AC578" s="27"/>
      <c r="AD578" s="31"/>
      <c r="AE578" s="32" t="str">
        <f t="shared" si="42"/>
        <v/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2416</v>
      </c>
      <c r="C579" s="25" t="s">
        <v>2417</v>
      </c>
      <c r="D579" s="23" t="s">
        <v>2237</v>
      </c>
      <c r="E579" s="43">
        <v>46126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43">
        <v>46193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30"/>
      <c r="X579" s="30"/>
      <c r="Y579" s="30"/>
      <c r="Z579" s="30"/>
      <c r="AA579" s="30"/>
      <c r="AB579" s="30"/>
      <c r="AC579" s="27"/>
      <c r="AD579" s="31"/>
      <c r="AE579" s="32" t="str">
        <f t="shared" si="42"/>
        <v/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2418</v>
      </c>
      <c r="C580" s="41" t="s">
        <v>2419</v>
      </c>
      <c r="D580" s="39" t="s">
        <v>2237</v>
      </c>
      <c r="E580" s="43">
        <v>46126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43">
        <v>46193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30"/>
      <c r="X580" s="30"/>
      <c r="Y580" s="30"/>
      <c r="Z580" s="30"/>
      <c r="AA580" s="30"/>
      <c r="AB580" s="30"/>
      <c r="AC580" s="27"/>
      <c r="AD580" s="31"/>
      <c r="AE580" s="32" t="str">
        <f t="shared" si="42"/>
        <v/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2420</v>
      </c>
      <c r="C581" s="25" t="s">
        <v>2421</v>
      </c>
      <c r="D581" s="23" t="s">
        <v>2237</v>
      </c>
      <c r="E581" s="43">
        <v>46126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43">
        <v>46193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30"/>
      <c r="X581" s="30"/>
      <c r="Y581" s="30"/>
      <c r="Z581" s="30"/>
      <c r="AA581" s="30"/>
      <c r="AB581" s="30"/>
      <c r="AC581" s="27"/>
      <c r="AD581" s="31"/>
      <c r="AE581" s="32" t="str">
        <f t="shared" ref="AE581:AE644" si="47">IF(W581="","",IF(Z581="Yes","❌ Disc",IF(Y581="No","⚠ Missing",IF(AB581="Yes","✓ OK","⚠ Check"))))</f>
        <v/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2422</v>
      </c>
      <c r="C582" s="41" t="s">
        <v>2423</v>
      </c>
      <c r="D582" s="39" t="s">
        <v>2237</v>
      </c>
      <c r="E582" s="43">
        <v>46126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43">
        <v>46193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30"/>
      <c r="X582" s="30"/>
      <c r="Y582" s="30"/>
      <c r="Z582" s="30"/>
      <c r="AA582" s="30"/>
      <c r="AB582" s="30"/>
      <c r="AC582" s="27"/>
      <c r="AD582" s="31"/>
      <c r="AE582" s="32" t="str">
        <f t="shared" si="47"/>
        <v/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2424</v>
      </c>
      <c r="C583" s="25" t="s">
        <v>2425</v>
      </c>
      <c r="D583" s="23" t="s">
        <v>2237</v>
      </c>
      <c r="E583" s="43">
        <v>46126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43">
        <v>46193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30"/>
      <c r="X583" s="30"/>
      <c r="Y583" s="30"/>
      <c r="Z583" s="30"/>
      <c r="AA583" s="30"/>
      <c r="AB583" s="30"/>
      <c r="AC583" s="27"/>
      <c r="AD583" s="31"/>
      <c r="AE583" s="32" t="str">
        <f t="shared" si="47"/>
        <v/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2426</v>
      </c>
      <c r="C584" s="41" t="s">
        <v>2427</v>
      </c>
      <c r="D584" s="39" t="s">
        <v>2237</v>
      </c>
      <c r="E584" s="43">
        <v>46126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43">
        <v>46193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30"/>
      <c r="X584" s="30"/>
      <c r="Y584" s="30"/>
      <c r="Z584" s="30"/>
      <c r="AA584" s="30"/>
      <c r="AB584" s="30"/>
      <c r="AC584" s="27"/>
      <c r="AD584" s="31"/>
      <c r="AE584" s="32" t="str">
        <f t="shared" si="47"/>
        <v/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2428</v>
      </c>
      <c r="C585" s="25" t="s">
        <v>2429</v>
      </c>
      <c r="D585" s="23" t="s">
        <v>2237</v>
      </c>
      <c r="E585" s="43">
        <v>46126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43">
        <v>46193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30"/>
      <c r="X585" s="30"/>
      <c r="Y585" s="30"/>
      <c r="Z585" s="30"/>
      <c r="AA585" s="30"/>
      <c r="AB585" s="30"/>
      <c r="AC585" s="27"/>
      <c r="AD585" s="31"/>
      <c r="AE585" s="32" t="str">
        <f t="shared" si="47"/>
        <v/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2430</v>
      </c>
      <c r="C586" s="41" t="s">
        <v>2431</v>
      </c>
      <c r="D586" s="39" t="s">
        <v>2237</v>
      </c>
      <c r="E586" s="43">
        <v>46126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43">
        <v>46193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30"/>
      <c r="X586" s="30"/>
      <c r="Y586" s="30"/>
      <c r="Z586" s="30"/>
      <c r="AA586" s="30"/>
      <c r="AB586" s="30"/>
      <c r="AC586" s="27"/>
      <c r="AD586" s="31"/>
      <c r="AE586" s="32" t="str">
        <f t="shared" si="47"/>
        <v/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2432</v>
      </c>
      <c r="C587" s="25" t="s">
        <v>2433</v>
      </c>
      <c r="D587" s="23" t="s">
        <v>2237</v>
      </c>
      <c r="E587" s="43">
        <v>46126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43">
        <v>46193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30"/>
      <c r="X587" s="30"/>
      <c r="Y587" s="30"/>
      <c r="Z587" s="30"/>
      <c r="AA587" s="30"/>
      <c r="AB587" s="30"/>
      <c r="AC587" s="27"/>
      <c r="AD587" s="31"/>
      <c r="AE587" s="32" t="str">
        <f t="shared" si="47"/>
        <v/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2434</v>
      </c>
      <c r="C588" s="41" t="s">
        <v>2435</v>
      </c>
      <c r="D588" s="39" t="s">
        <v>2237</v>
      </c>
      <c r="E588" s="43">
        <v>46126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43">
        <v>46193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30"/>
      <c r="X588" s="30"/>
      <c r="Y588" s="30"/>
      <c r="Z588" s="30"/>
      <c r="AA588" s="30"/>
      <c r="AB588" s="30"/>
      <c r="AC588" s="27"/>
      <c r="AD588" s="31"/>
      <c r="AE588" s="32" t="str">
        <f t="shared" si="47"/>
        <v/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2436</v>
      </c>
      <c r="C589" s="25" t="s">
        <v>2437</v>
      </c>
      <c r="D589" s="23" t="s">
        <v>2237</v>
      </c>
      <c r="E589" s="43">
        <v>46126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43">
        <v>46193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30"/>
      <c r="X589" s="30"/>
      <c r="Y589" s="30"/>
      <c r="Z589" s="30"/>
      <c r="AA589" s="30"/>
      <c r="AB589" s="30"/>
      <c r="AC589" s="27"/>
      <c r="AD589" s="31"/>
      <c r="AE589" s="32" t="str">
        <f t="shared" si="47"/>
        <v/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2438</v>
      </c>
      <c r="C590" s="41" t="s">
        <v>2439</v>
      </c>
      <c r="D590" s="39" t="s">
        <v>2237</v>
      </c>
      <c r="E590" s="43">
        <v>46126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43">
        <v>46193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30"/>
      <c r="X590" s="30"/>
      <c r="Y590" s="30"/>
      <c r="Z590" s="30"/>
      <c r="AA590" s="30"/>
      <c r="AB590" s="30"/>
      <c r="AC590" s="27"/>
      <c r="AD590" s="31"/>
      <c r="AE590" s="32" t="str">
        <f t="shared" si="47"/>
        <v/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2440</v>
      </c>
      <c r="C591" s="25" t="s">
        <v>2441</v>
      </c>
      <c r="D591" s="23" t="s">
        <v>2237</v>
      </c>
      <c r="E591" s="43">
        <v>46126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43">
        <v>46193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30"/>
      <c r="X591" s="30"/>
      <c r="Y591" s="30"/>
      <c r="Z591" s="30"/>
      <c r="AA591" s="30"/>
      <c r="AB591" s="30"/>
      <c r="AC591" s="27"/>
      <c r="AD591" s="31"/>
      <c r="AE591" s="32" t="str">
        <f t="shared" si="47"/>
        <v/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2442</v>
      </c>
      <c r="C592" s="41" t="s">
        <v>2443</v>
      </c>
      <c r="D592" s="39" t="s">
        <v>2237</v>
      </c>
      <c r="E592" s="43">
        <v>46126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43">
        <v>46193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30"/>
      <c r="X592" s="30"/>
      <c r="Y592" s="30"/>
      <c r="Z592" s="30"/>
      <c r="AA592" s="30"/>
      <c r="AB592" s="30"/>
      <c r="AC592" s="27"/>
      <c r="AD592" s="31"/>
      <c r="AE592" s="32" t="str">
        <f t="shared" si="47"/>
        <v/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2444</v>
      </c>
      <c r="C593" s="25" t="s">
        <v>2445</v>
      </c>
      <c r="D593" s="23" t="s">
        <v>2237</v>
      </c>
      <c r="E593" s="43">
        <v>46126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43">
        <v>46193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30"/>
      <c r="X593" s="30"/>
      <c r="Y593" s="30"/>
      <c r="Z593" s="30"/>
      <c r="AA593" s="30"/>
      <c r="AB593" s="30"/>
      <c r="AC593" s="27"/>
      <c r="AD593" s="31"/>
      <c r="AE593" s="32" t="str">
        <f t="shared" si="47"/>
        <v/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2446</v>
      </c>
      <c r="C594" s="41" t="s">
        <v>2447</v>
      </c>
      <c r="D594" s="39" t="s">
        <v>2237</v>
      </c>
      <c r="E594" s="43">
        <v>46126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43">
        <v>46193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30"/>
      <c r="X594" s="30"/>
      <c r="Y594" s="30"/>
      <c r="Z594" s="30"/>
      <c r="AA594" s="30"/>
      <c r="AB594" s="30"/>
      <c r="AC594" s="27"/>
      <c r="AD594" s="31"/>
      <c r="AE594" s="32" t="str">
        <f t="shared" si="47"/>
        <v/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2448</v>
      </c>
      <c r="C595" s="25" t="s">
        <v>2449</v>
      </c>
      <c r="D595" s="23" t="s">
        <v>2237</v>
      </c>
      <c r="E595" s="43">
        <v>46126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43">
        <v>46193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30"/>
      <c r="X595" s="30"/>
      <c r="Y595" s="30"/>
      <c r="Z595" s="30"/>
      <c r="AA595" s="30"/>
      <c r="AB595" s="30"/>
      <c r="AC595" s="27"/>
      <c r="AD595" s="31"/>
      <c r="AE595" s="32" t="str">
        <f t="shared" si="47"/>
        <v/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2450</v>
      </c>
      <c r="C596" s="41" t="s">
        <v>2451</v>
      </c>
      <c r="D596" s="39" t="s">
        <v>2237</v>
      </c>
      <c r="E596" s="43">
        <v>46126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43">
        <v>46193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30"/>
      <c r="X596" s="30"/>
      <c r="Y596" s="30"/>
      <c r="Z596" s="30"/>
      <c r="AA596" s="30"/>
      <c r="AB596" s="30"/>
      <c r="AC596" s="27"/>
      <c r="AD596" s="31"/>
      <c r="AE596" s="32" t="str">
        <f t="shared" si="47"/>
        <v/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2452</v>
      </c>
      <c r="C597" s="25" t="s">
        <v>2453</v>
      </c>
      <c r="D597" s="23" t="s">
        <v>2237</v>
      </c>
      <c r="E597" s="43">
        <v>46126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43">
        <v>46193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30"/>
      <c r="X597" s="30"/>
      <c r="Y597" s="30"/>
      <c r="Z597" s="30"/>
      <c r="AA597" s="30"/>
      <c r="AB597" s="30"/>
      <c r="AC597" s="27"/>
      <c r="AD597" s="31"/>
      <c r="AE597" s="32" t="str">
        <f t="shared" si="47"/>
        <v/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2454</v>
      </c>
      <c r="C598" s="41" t="s">
        <v>2455</v>
      </c>
      <c r="D598" s="39" t="s">
        <v>2237</v>
      </c>
      <c r="E598" s="43">
        <v>46126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43">
        <v>46193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30"/>
      <c r="X598" s="30"/>
      <c r="Y598" s="30"/>
      <c r="Z598" s="30"/>
      <c r="AA598" s="30"/>
      <c r="AB598" s="30"/>
      <c r="AC598" s="27"/>
      <c r="AD598" s="31"/>
      <c r="AE598" s="32" t="str">
        <f t="shared" si="47"/>
        <v/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2456</v>
      </c>
      <c r="C599" s="25" t="s">
        <v>2457</v>
      </c>
      <c r="D599" s="23" t="s">
        <v>2237</v>
      </c>
      <c r="E599" s="43">
        <v>46126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43">
        <v>46193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30"/>
      <c r="X599" s="30"/>
      <c r="Y599" s="30"/>
      <c r="Z599" s="30"/>
      <c r="AA599" s="30"/>
      <c r="AB599" s="30"/>
      <c r="AC599" s="27"/>
      <c r="AD599" s="31"/>
      <c r="AE599" s="32" t="str">
        <f t="shared" si="47"/>
        <v/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2458</v>
      </c>
      <c r="C600" s="41" t="s">
        <v>2459</v>
      </c>
      <c r="D600" s="39" t="s">
        <v>2237</v>
      </c>
      <c r="E600" s="43">
        <v>46126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43">
        <v>46193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30"/>
      <c r="X600" s="30"/>
      <c r="Y600" s="30"/>
      <c r="Z600" s="30"/>
      <c r="AA600" s="30"/>
      <c r="AB600" s="30"/>
      <c r="AC600" s="27"/>
      <c r="AD600" s="31"/>
      <c r="AE600" s="32" t="str">
        <f t="shared" si="47"/>
        <v/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2460</v>
      </c>
      <c r="C601" s="25" t="s">
        <v>2461</v>
      </c>
      <c r="D601" s="23" t="s">
        <v>2237</v>
      </c>
      <c r="E601" s="43">
        <v>46126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43">
        <v>46193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30"/>
      <c r="X601" s="30"/>
      <c r="Y601" s="30"/>
      <c r="Z601" s="30"/>
      <c r="AA601" s="30"/>
      <c r="AB601" s="30"/>
      <c r="AC601" s="27"/>
      <c r="AD601" s="31"/>
      <c r="AE601" s="32" t="str">
        <f t="shared" si="47"/>
        <v/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2462</v>
      </c>
      <c r="C602" s="41" t="s">
        <v>2463</v>
      </c>
      <c r="D602" s="39" t="s">
        <v>2237</v>
      </c>
      <c r="E602" s="43">
        <v>46126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43">
        <v>46193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30"/>
      <c r="X602" s="30"/>
      <c r="Y602" s="30"/>
      <c r="Z602" s="30"/>
      <c r="AA602" s="30"/>
      <c r="AB602" s="30"/>
      <c r="AC602" s="27"/>
      <c r="AD602" s="31"/>
      <c r="AE602" s="32" t="str">
        <f t="shared" si="47"/>
        <v/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2464</v>
      </c>
      <c r="C603" s="25" t="s">
        <v>2465</v>
      </c>
      <c r="D603" s="23" t="s">
        <v>2237</v>
      </c>
      <c r="E603" s="43">
        <v>46126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43">
        <v>46193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30"/>
      <c r="X603" s="30"/>
      <c r="Y603" s="30"/>
      <c r="Z603" s="30"/>
      <c r="AA603" s="30"/>
      <c r="AB603" s="30"/>
      <c r="AC603" s="27"/>
      <c r="AD603" s="31"/>
      <c r="AE603" s="32" t="str">
        <f t="shared" si="47"/>
        <v/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2466</v>
      </c>
      <c r="C604" s="41" t="s">
        <v>2467</v>
      </c>
      <c r="D604" s="39" t="s">
        <v>2237</v>
      </c>
      <c r="E604" s="43">
        <v>46126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43">
        <v>46193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30"/>
      <c r="X604" s="30"/>
      <c r="Y604" s="30"/>
      <c r="Z604" s="30"/>
      <c r="AA604" s="30"/>
      <c r="AB604" s="30"/>
      <c r="AC604" s="27"/>
      <c r="AD604" s="31"/>
      <c r="AE604" s="32" t="str">
        <f t="shared" si="47"/>
        <v/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2468</v>
      </c>
      <c r="C605" s="25" t="s">
        <v>2469</v>
      </c>
      <c r="D605" s="23" t="s">
        <v>2237</v>
      </c>
      <c r="E605" s="43">
        <v>46126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43">
        <v>46193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30"/>
      <c r="X605" s="30"/>
      <c r="Y605" s="30"/>
      <c r="Z605" s="30"/>
      <c r="AA605" s="30"/>
      <c r="AB605" s="30"/>
      <c r="AC605" s="27"/>
      <c r="AD605" s="31"/>
      <c r="AE605" s="32" t="str">
        <f t="shared" si="47"/>
        <v/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2470</v>
      </c>
      <c r="C606" s="41" t="s">
        <v>2471</v>
      </c>
      <c r="D606" s="39" t="s">
        <v>2237</v>
      </c>
      <c r="E606" s="43">
        <v>46126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43">
        <v>46193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30"/>
      <c r="X606" s="30"/>
      <c r="Y606" s="30"/>
      <c r="Z606" s="30"/>
      <c r="AA606" s="30"/>
      <c r="AB606" s="30"/>
      <c r="AC606" s="27"/>
      <c r="AD606" s="31"/>
      <c r="AE606" s="32" t="str">
        <f t="shared" si="47"/>
        <v/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2472</v>
      </c>
      <c r="C607" s="25" t="s">
        <v>2473</v>
      </c>
      <c r="D607" s="23" t="s">
        <v>2237</v>
      </c>
      <c r="E607" s="43">
        <v>46126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43">
        <v>46193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30"/>
      <c r="X607" s="30"/>
      <c r="Y607" s="30"/>
      <c r="Z607" s="30"/>
      <c r="AA607" s="30"/>
      <c r="AB607" s="30"/>
      <c r="AC607" s="27"/>
      <c r="AD607" s="31"/>
      <c r="AE607" s="32" t="str">
        <f t="shared" si="47"/>
        <v/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2474</v>
      </c>
      <c r="C608" s="41" t="s">
        <v>2475</v>
      </c>
      <c r="D608" s="39" t="s">
        <v>2237</v>
      </c>
      <c r="E608" s="43">
        <v>46126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43">
        <v>46193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30"/>
      <c r="X608" s="30"/>
      <c r="Y608" s="30"/>
      <c r="Z608" s="30"/>
      <c r="AA608" s="30"/>
      <c r="AB608" s="30"/>
      <c r="AC608" s="27"/>
      <c r="AD608" s="31"/>
      <c r="AE608" s="32" t="str">
        <f t="shared" si="47"/>
        <v/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2476</v>
      </c>
      <c r="C609" s="25" t="s">
        <v>2477</v>
      </c>
      <c r="D609" s="23" t="s">
        <v>2237</v>
      </c>
      <c r="E609" s="43">
        <v>46126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43">
        <v>46193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30"/>
      <c r="X609" s="30"/>
      <c r="Y609" s="30"/>
      <c r="Z609" s="30"/>
      <c r="AA609" s="30"/>
      <c r="AB609" s="30"/>
      <c r="AC609" s="27"/>
      <c r="AD609" s="31"/>
      <c r="AE609" s="32" t="str">
        <f t="shared" si="47"/>
        <v/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2478</v>
      </c>
      <c r="C610" s="41" t="s">
        <v>2479</v>
      </c>
      <c r="D610" s="39" t="s">
        <v>2237</v>
      </c>
      <c r="E610" s="43">
        <v>46126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43">
        <v>46193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30"/>
      <c r="X610" s="30"/>
      <c r="Y610" s="30"/>
      <c r="Z610" s="30"/>
      <c r="AA610" s="30"/>
      <c r="AB610" s="30"/>
      <c r="AC610" s="27"/>
      <c r="AD610" s="31"/>
      <c r="AE610" s="32" t="str">
        <f t="shared" si="47"/>
        <v/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2480</v>
      </c>
      <c r="C611" s="25" t="s">
        <v>2481</v>
      </c>
      <c r="D611" s="23" t="s">
        <v>2237</v>
      </c>
      <c r="E611" s="43">
        <v>46126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43">
        <v>46193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30"/>
      <c r="X611" s="30"/>
      <c r="Y611" s="30"/>
      <c r="Z611" s="30"/>
      <c r="AA611" s="30"/>
      <c r="AB611" s="30"/>
      <c r="AC611" s="27"/>
      <c r="AD611" s="31"/>
      <c r="AE611" s="32" t="str">
        <f t="shared" si="47"/>
        <v/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2482</v>
      </c>
      <c r="C612" s="41" t="s">
        <v>2483</v>
      </c>
      <c r="D612" s="39" t="s">
        <v>2237</v>
      </c>
      <c r="E612" s="43">
        <v>46126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43">
        <v>46193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30"/>
      <c r="X612" s="30"/>
      <c r="Y612" s="30"/>
      <c r="Z612" s="30"/>
      <c r="AA612" s="30"/>
      <c r="AB612" s="30"/>
      <c r="AC612" s="27"/>
      <c r="AD612" s="31"/>
      <c r="AE612" s="32" t="str">
        <f t="shared" si="47"/>
        <v/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2484</v>
      </c>
      <c r="C613" s="25" t="s">
        <v>2485</v>
      </c>
      <c r="D613" s="23" t="s">
        <v>2237</v>
      </c>
      <c r="E613" s="43">
        <v>46126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43">
        <v>46193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30"/>
      <c r="X613" s="30"/>
      <c r="Y613" s="30"/>
      <c r="Z613" s="30"/>
      <c r="AA613" s="30"/>
      <c r="AB613" s="30"/>
      <c r="AC613" s="27"/>
      <c r="AD613" s="31"/>
      <c r="AE613" s="32" t="str">
        <f t="shared" si="47"/>
        <v/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2486</v>
      </c>
      <c r="C614" s="41" t="s">
        <v>2487</v>
      </c>
      <c r="D614" s="39" t="s">
        <v>2237</v>
      </c>
      <c r="E614" s="43">
        <v>46126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43">
        <v>46193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30"/>
      <c r="X614" s="30"/>
      <c r="Y614" s="30"/>
      <c r="Z614" s="30"/>
      <c r="AA614" s="30"/>
      <c r="AB614" s="30"/>
      <c r="AC614" s="27"/>
      <c r="AD614" s="31"/>
      <c r="AE614" s="32" t="str">
        <f t="shared" si="47"/>
        <v/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2488</v>
      </c>
      <c r="C615" s="25" t="s">
        <v>2489</v>
      </c>
      <c r="D615" s="23" t="s">
        <v>2237</v>
      </c>
      <c r="E615" s="43">
        <v>46126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43">
        <v>46193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30"/>
      <c r="X615" s="30"/>
      <c r="Y615" s="30"/>
      <c r="Z615" s="30"/>
      <c r="AA615" s="30"/>
      <c r="AB615" s="30"/>
      <c r="AC615" s="27"/>
      <c r="AD615" s="31"/>
      <c r="AE615" s="32" t="str">
        <f t="shared" si="47"/>
        <v/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2490</v>
      </c>
      <c r="C616" s="41" t="s">
        <v>2491</v>
      </c>
      <c r="D616" s="39" t="s">
        <v>2237</v>
      </c>
      <c r="E616" s="43">
        <v>46126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43">
        <v>46193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30"/>
      <c r="X616" s="30"/>
      <c r="Y616" s="30"/>
      <c r="Z616" s="30"/>
      <c r="AA616" s="30"/>
      <c r="AB616" s="30"/>
      <c r="AC616" s="27"/>
      <c r="AD616" s="31"/>
      <c r="AE616" s="32" t="str">
        <f t="shared" si="47"/>
        <v/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2492</v>
      </c>
      <c r="C617" s="25" t="s">
        <v>2493</v>
      </c>
      <c r="D617" s="23" t="s">
        <v>2237</v>
      </c>
      <c r="E617" s="43">
        <v>46126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43">
        <v>46193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30"/>
      <c r="X617" s="30"/>
      <c r="Y617" s="30"/>
      <c r="Z617" s="30"/>
      <c r="AA617" s="30"/>
      <c r="AB617" s="30"/>
      <c r="AC617" s="27"/>
      <c r="AD617" s="31"/>
      <c r="AE617" s="32" t="str">
        <f t="shared" si="47"/>
        <v/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2494</v>
      </c>
      <c r="C618" s="41" t="s">
        <v>2495</v>
      </c>
      <c r="D618" s="39" t="s">
        <v>2237</v>
      </c>
      <c r="E618" s="43">
        <v>46126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43">
        <v>46193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30"/>
      <c r="X618" s="30"/>
      <c r="Y618" s="30"/>
      <c r="Z618" s="30"/>
      <c r="AA618" s="30"/>
      <c r="AB618" s="30"/>
      <c r="AC618" s="27"/>
      <c r="AD618" s="31"/>
      <c r="AE618" s="32" t="str">
        <f t="shared" si="47"/>
        <v/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2496</v>
      </c>
      <c r="C619" s="25" t="s">
        <v>2497</v>
      </c>
      <c r="D619" s="23" t="s">
        <v>2237</v>
      </c>
      <c r="E619" s="43">
        <v>46126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43">
        <v>46193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30"/>
      <c r="X619" s="30"/>
      <c r="Y619" s="30"/>
      <c r="Z619" s="30"/>
      <c r="AA619" s="30"/>
      <c r="AB619" s="30"/>
      <c r="AC619" s="27"/>
      <c r="AD619" s="31"/>
      <c r="AE619" s="32" t="str">
        <f t="shared" si="47"/>
        <v/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2498</v>
      </c>
      <c r="C620" s="41" t="s">
        <v>2499</v>
      </c>
      <c r="D620" s="39" t="s">
        <v>2237</v>
      </c>
      <c r="E620" s="43">
        <v>46126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43">
        <v>46193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30"/>
      <c r="X620" s="30"/>
      <c r="Y620" s="30"/>
      <c r="Z620" s="30"/>
      <c r="AA620" s="30"/>
      <c r="AB620" s="30"/>
      <c r="AC620" s="27"/>
      <c r="AD620" s="31"/>
      <c r="AE620" s="32" t="str">
        <f t="shared" si="47"/>
        <v/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2500</v>
      </c>
      <c r="C621" s="25" t="s">
        <v>2501</v>
      </c>
      <c r="D621" s="23" t="s">
        <v>2237</v>
      </c>
      <c r="E621" s="43">
        <v>46126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43">
        <v>46193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30"/>
      <c r="X621" s="30"/>
      <c r="Y621" s="30"/>
      <c r="Z621" s="30"/>
      <c r="AA621" s="30"/>
      <c r="AB621" s="30"/>
      <c r="AC621" s="27"/>
      <c r="AD621" s="31"/>
      <c r="AE621" s="32" t="str">
        <f t="shared" si="47"/>
        <v/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2502</v>
      </c>
      <c r="C622" s="41" t="s">
        <v>2503</v>
      </c>
      <c r="D622" s="39" t="s">
        <v>2237</v>
      </c>
      <c r="E622" s="43">
        <v>46126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43">
        <v>46193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30"/>
      <c r="X622" s="30"/>
      <c r="Y622" s="30"/>
      <c r="Z622" s="30"/>
      <c r="AA622" s="30"/>
      <c r="AB622" s="30"/>
      <c r="AC622" s="27"/>
      <c r="AD622" s="31"/>
      <c r="AE622" s="32" t="str">
        <f t="shared" si="47"/>
        <v/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2504</v>
      </c>
      <c r="C623" s="25" t="s">
        <v>2505</v>
      </c>
      <c r="D623" s="23" t="s">
        <v>2237</v>
      </c>
      <c r="E623" s="43">
        <v>46126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43">
        <v>46193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30"/>
      <c r="X623" s="30"/>
      <c r="Y623" s="30"/>
      <c r="Z623" s="30"/>
      <c r="AA623" s="30"/>
      <c r="AB623" s="30"/>
      <c r="AC623" s="27"/>
      <c r="AD623" s="31"/>
      <c r="AE623" s="32" t="str">
        <f t="shared" si="47"/>
        <v/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2506</v>
      </c>
      <c r="C624" s="41" t="s">
        <v>2507</v>
      </c>
      <c r="D624" s="39" t="s">
        <v>2237</v>
      </c>
      <c r="E624" s="43">
        <v>46126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43">
        <v>46193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30"/>
      <c r="X624" s="30"/>
      <c r="Y624" s="30"/>
      <c r="Z624" s="30"/>
      <c r="AA624" s="30"/>
      <c r="AB624" s="30"/>
      <c r="AC624" s="27"/>
      <c r="AD624" s="31"/>
      <c r="AE624" s="32" t="str">
        <f t="shared" si="47"/>
        <v/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2508</v>
      </c>
      <c r="C625" s="25" t="s">
        <v>2509</v>
      </c>
      <c r="D625" s="23" t="s">
        <v>2237</v>
      </c>
      <c r="E625" s="43">
        <v>46126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43">
        <v>46193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30"/>
      <c r="X625" s="30"/>
      <c r="Y625" s="30"/>
      <c r="Z625" s="30"/>
      <c r="AA625" s="30"/>
      <c r="AB625" s="30"/>
      <c r="AC625" s="27"/>
      <c r="AD625" s="31"/>
      <c r="AE625" s="32" t="str">
        <f t="shared" si="47"/>
        <v/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2510</v>
      </c>
      <c r="C626" s="41" t="s">
        <v>2511</v>
      </c>
      <c r="D626" s="39" t="s">
        <v>2237</v>
      </c>
      <c r="E626" s="43">
        <v>46126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43">
        <v>46193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30"/>
      <c r="X626" s="30"/>
      <c r="Y626" s="30"/>
      <c r="Z626" s="30"/>
      <c r="AA626" s="30"/>
      <c r="AB626" s="30"/>
      <c r="AC626" s="27"/>
      <c r="AD626" s="31"/>
      <c r="AE626" s="32" t="str">
        <f t="shared" si="47"/>
        <v/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2512</v>
      </c>
      <c r="C627" s="25" t="s">
        <v>2513</v>
      </c>
      <c r="D627" s="23" t="s">
        <v>2237</v>
      </c>
      <c r="E627" s="43">
        <v>46126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43">
        <v>46193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30"/>
      <c r="X627" s="30"/>
      <c r="Y627" s="30"/>
      <c r="Z627" s="30"/>
      <c r="AA627" s="30"/>
      <c r="AB627" s="30"/>
      <c r="AC627" s="27"/>
      <c r="AD627" s="31"/>
      <c r="AE627" s="32" t="str">
        <f t="shared" si="47"/>
        <v/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2514</v>
      </c>
      <c r="C628" s="41" t="s">
        <v>2515</v>
      </c>
      <c r="D628" s="39" t="s">
        <v>2237</v>
      </c>
      <c r="E628" s="43">
        <v>46126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43">
        <v>46193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30"/>
      <c r="X628" s="30"/>
      <c r="Y628" s="30"/>
      <c r="Z628" s="30"/>
      <c r="AA628" s="30"/>
      <c r="AB628" s="30"/>
      <c r="AC628" s="27"/>
      <c r="AD628" s="31"/>
      <c r="AE628" s="32" t="str">
        <f t="shared" si="47"/>
        <v/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2516</v>
      </c>
      <c r="C629" s="25" t="s">
        <v>2517</v>
      </c>
      <c r="D629" s="23" t="s">
        <v>2237</v>
      </c>
      <c r="E629" s="43">
        <v>46126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43">
        <v>46193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30"/>
      <c r="X629" s="30"/>
      <c r="Y629" s="30"/>
      <c r="Z629" s="30"/>
      <c r="AA629" s="30"/>
      <c r="AB629" s="30"/>
      <c r="AC629" s="27"/>
      <c r="AD629" s="31"/>
      <c r="AE629" s="32" t="str">
        <f t="shared" si="47"/>
        <v/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2518</v>
      </c>
      <c r="C630" s="41" t="s">
        <v>2519</v>
      </c>
      <c r="D630" s="39" t="s">
        <v>2237</v>
      </c>
      <c r="E630" s="43">
        <v>46126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43">
        <v>46193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30"/>
      <c r="X630" s="30"/>
      <c r="Y630" s="30"/>
      <c r="Z630" s="30"/>
      <c r="AA630" s="30"/>
      <c r="AB630" s="30"/>
      <c r="AC630" s="27"/>
      <c r="AD630" s="31"/>
      <c r="AE630" s="32" t="str">
        <f t="shared" si="47"/>
        <v/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2520</v>
      </c>
      <c r="C631" s="25" t="s">
        <v>2521</v>
      </c>
      <c r="D631" s="23" t="s">
        <v>2237</v>
      </c>
      <c r="E631" s="43">
        <v>46126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43">
        <v>46193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30"/>
      <c r="X631" s="30"/>
      <c r="Y631" s="30"/>
      <c r="Z631" s="30"/>
      <c r="AA631" s="30"/>
      <c r="AB631" s="30"/>
      <c r="AC631" s="27"/>
      <c r="AD631" s="31"/>
      <c r="AE631" s="32" t="str">
        <f t="shared" si="47"/>
        <v/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2522</v>
      </c>
      <c r="C632" s="41" t="s">
        <v>2523</v>
      </c>
      <c r="D632" s="39" t="s">
        <v>2237</v>
      </c>
      <c r="E632" s="43">
        <v>46126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43">
        <v>46193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30"/>
      <c r="X632" s="30"/>
      <c r="Y632" s="30"/>
      <c r="Z632" s="30"/>
      <c r="AA632" s="30"/>
      <c r="AB632" s="30"/>
      <c r="AC632" s="27"/>
      <c r="AD632" s="31"/>
      <c r="AE632" s="32" t="str">
        <f t="shared" si="47"/>
        <v/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2524</v>
      </c>
      <c r="C633" s="25" t="s">
        <v>2525</v>
      </c>
      <c r="D633" s="23" t="s">
        <v>2237</v>
      </c>
      <c r="E633" s="43">
        <v>46126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43">
        <v>46193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30"/>
      <c r="X633" s="30"/>
      <c r="Y633" s="30"/>
      <c r="Z633" s="30"/>
      <c r="AA633" s="30"/>
      <c r="AB633" s="30"/>
      <c r="AC633" s="27"/>
      <c r="AD633" s="31"/>
      <c r="AE633" s="32" t="str">
        <f t="shared" si="47"/>
        <v/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2526</v>
      </c>
      <c r="C634" s="41" t="s">
        <v>2527</v>
      </c>
      <c r="D634" s="39" t="s">
        <v>2237</v>
      </c>
      <c r="E634" s="43">
        <v>46126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43">
        <v>46193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30"/>
      <c r="X634" s="30"/>
      <c r="Y634" s="30"/>
      <c r="Z634" s="30"/>
      <c r="AA634" s="30"/>
      <c r="AB634" s="30"/>
      <c r="AC634" s="27"/>
      <c r="AD634" s="31"/>
      <c r="AE634" s="32" t="str">
        <f t="shared" si="47"/>
        <v/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2528</v>
      </c>
      <c r="C635" s="25" t="s">
        <v>2529</v>
      </c>
      <c r="D635" s="23" t="s">
        <v>2237</v>
      </c>
      <c r="E635" s="43">
        <v>46126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43">
        <v>46193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30"/>
      <c r="X635" s="30"/>
      <c r="Y635" s="30"/>
      <c r="Z635" s="30"/>
      <c r="AA635" s="30"/>
      <c r="AB635" s="30"/>
      <c r="AC635" s="27"/>
      <c r="AD635" s="31"/>
      <c r="AE635" s="32" t="str">
        <f t="shared" si="47"/>
        <v/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2530</v>
      </c>
      <c r="C636" s="41" t="s">
        <v>2531</v>
      </c>
      <c r="D636" s="39" t="s">
        <v>2237</v>
      </c>
      <c r="E636" s="43">
        <v>46126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43">
        <v>46193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30"/>
      <c r="X636" s="30"/>
      <c r="Y636" s="30"/>
      <c r="Z636" s="30"/>
      <c r="AA636" s="30"/>
      <c r="AB636" s="30"/>
      <c r="AC636" s="27"/>
      <c r="AD636" s="31"/>
      <c r="AE636" s="32" t="str">
        <f t="shared" si="47"/>
        <v/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2532</v>
      </c>
      <c r="C637" s="25" t="s">
        <v>2533</v>
      </c>
      <c r="D637" s="23" t="s">
        <v>2237</v>
      </c>
      <c r="E637" s="43">
        <v>46126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43">
        <v>46193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30"/>
      <c r="X637" s="30"/>
      <c r="Y637" s="30"/>
      <c r="Z637" s="30"/>
      <c r="AA637" s="30"/>
      <c r="AB637" s="30"/>
      <c r="AC637" s="27"/>
      <c r="AD637" s="31"/>
      <c r="AE637" s="32" t="str">
        <f t="shared" si="47"/>
        <v/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2534</v>
      </c>
      <c r="C638" s="41" t="s">
        <v>2535</v>
      </c>
      <c r="D638" s="39" t="s">
        <v>2237</v>
      </c>
      <c r="E638" s="43">
        <v>46126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43">
        <v>46193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30"/>
      <c r="X638" s="30"/>
      <c r="Y638" s="30"/>
      <c r="Z638" s="30"/>
      <c r="AA638" s="30"/>
      <c r="AB638" s="30"/>
      <c r="AC638" s="27"/>
      <c r="AD638" s="31"/>
      <c r="AE638" s="32" t="str">
        <f t="shared" si="47"/>
        <v/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2536</v>
      </c>
      <c r="C639" s="25" t="s">
        <v>2537</v>
      </c>
      <c r="D639" s="23" t="s">
        <v>2237</v>
      </c>
      <c r="E639" s="43">
        <v>46126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43">
        <v>46193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30"/>
      <c r="X639" s="30"/>
      <c r="Y639" s="30"/>
      <c r="Z639" s="30"/>
      <c r="AA639" s="30"/>
      <c r="AB639" s="30"/>
      <c r="AC639" s="27"/>
      <c r="AD639" s="31"/>
      <c r="AE639" s="32" t="str">
        <f t="shared" si="47"/>
        <v/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2538</v>
      </c>
      <c r="C640" s="41" t="s">
        <v>2539</v>
      </c>
      <c r="D640" s="39" t="s">
        <v>2237</v>
      </c>
      <c r="E640" s="43">
        <v>46126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43">
        <v>46193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30"/>
      <c r="X640" s="30"/>
      <c r="Y640" s="30"/>
      <c r="Z640" s="30"/>
      <c r="AA640" s="30"/>
      <c r="AB640" s="30"/>
      <c r="AC640" s="27"/>
      <c r="AD640" s="31"/>
      <c r="AE640" s="32" t="str">
        <f t="shared" si="47"/>
        <v/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2540</v>
      </c>
      <c r="C641" s="25" t="s">
        <v>2541</v>
      </c>
      <c r="D641" s="23" t="s">
        <v>2237</v>
      </c>
      <c r="E641" s="43">
        <v>46126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43">
        <v>46193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30"/>
      <c r="X641" s="30"/>
      <c r="Y641" s="30"/>
      <c r="Z641" s="30"/>
      <c r="AA641" s="30"/>
      <c r="AB641" s="30"/>
      <c r="AC641" s="27"/>
      <c r="AD641" s="31"/>
      <c r="AE641" s="32" t="str">
        <f t="shared" si="47"/>
        <v/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2542</v>
      </c>
      <c r="C642" s="41" t="s">
        <v>2543</v>
      </c>
      <c r="D642" s="39" t="s">
        <v>2237</v>
      </c>
      <c r="E642" s="43">
        <v>46126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43">
        <v>46193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30"/>
      <c r="X642" s="30"/>
      <c r="Y642" s="30"/>
      <c r="Z642" s="30"/>
      <c r="AA642" s="30"/>
      <c r="AB642" s="30"/>
      <c r="AC642" s="27"/>
      <c r="AD642" s="31"/>
      <c r="AE642" s="32" t="str">
        <f t="shared" si="47"/>
        <v/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2544</v>
      </c>
      <c r="C643" s="25" t="s">
        <v>2545</v>
      </c>
      <c r="D643" s="23" t="s">
        <v>2237</v>
      </c>
      <c r="E643" s="43">
        <v>46126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43">
        <v>46193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30"/>
      <c r="X643" s="30"/>
      <c r="Y643" s="30"/>
      <c r="Z643" s="30"/>
      <c r="AA643" s="30"/>
      <c r="AB643" s="30"/>
      <c r="AC643" s="27"/>
      <c r="AD643" s="31"/>
      <c r="AE643" s="32" t="str">
        <f t="shared" si="47"/>
        <v/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2546</v>
      </c>
      <c r="C644" s="41" t="s">
        <v>2547</v>
      </c>
      <c r="D644" s="39" t="s">
        <v>2237</v>
      </c>
      <c r="E644" s="43">
        <v>46126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43">
        <v>46193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30"/>
      <c r="X644" s="30"/>
      <c r="Y644" s="30"/>
      <c r="Z644" s="30"/>
      <c r="AA644" s="30"/>
      <c r="AB644" s="30"/>
      <c r="AC644" s="27"/>
      <c r="AD644" s="31"/>
      <c r="AE644" s="32" t="str">
        <f t="shared" si="47"/>
        <v/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2548</v>
      </c>
      <c r="C645" s="25" t="s">
        <v>2549</v>
      </c>
      <c r="D645" s="23" t="s">
        <v>2237</v>
      </c>
      <c r="E645" s="43">
        <v>46126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43">
        <v>46193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30"/>
      <c r="X645" s="30"/>
      <c r="Y645" s="30"/>
      <c r="Z645" s="30"/>
      <c r="AA645" s="30"/>
      <c r="AB645" s="30"/>
      <c r="AC645" s="27"/>
      <c r="AD645" s="31"/>
      <c r="AE645" s="32" t="str">
        <f t="shared" ref="AE645:AE708" si="52">IF(W645="","",IF(Z645="Yes","❌ Disc",IF(Y645="No","⚠ Missing",IF(AB645="Yes","✓ OK","⚠ Check"))))</f>
        <v/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2550</v>
      </c>
      <c r="C646" s="41" t="s">
        <v>2551</v>
      </c>
      <c r="D646" s="39" t="s">
        <v>2237</v>
      </c>
      <c r="E646" s="43">
        <v>46126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43">
        <v>46193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30"/>
      <c r="X646" s="30"/>
      <c r="Y646" s="30"/>
      <c r="Z646" s="30"/>
      <c r="AA646" s="30"/>
      <c r="AB646" s="30"/>
      <c r="AC646" s="27"/>
      <c r="AD646" s="31"/>
      <c r="AE646" s="32" t="str">
        <f t="shared" si="52"/>
        <v/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2552</v>
      </c>
      <c r="C647" s="25" t="s">
        <v>2553</v>
      </c>
      <c r="D647" s="23" t="s">
        <v>2237</v>
      </c>
      <c r="E647" s="43">
        <v>46126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43">
        <v>46193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30"/>
      <c r="X647" s="30"/>
      <c r="Y647" s="30"/>
      <c r="Z647" s="30"/>
      <c r="AA647" s="30"/>
      <c r="AB647" s="30"/>
      <c r="AC647" s="27"/>
      <c r="AD647" s="31"/>
      <c r="AE647" s="32" t="str">
        <f t="shared" si="52"/>
        <v/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2554</v>
      </c>
      <c r="C648" s="41" t="s">
        <v>2555</v>
      </c>
      <c r="D648" s="39" t="s">
        <v>2237</v>
      </c>
      <c r="E648" s="43">
        <v>46126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43">
        <v>46193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30"/>
      <c r="X648" s="30"/>
      <c r="Y648" s="30"/>
      <c r="Z648" s="30"/>
      <c r="AA648" s="30"/>
      <c r="AB648" s="30"/>
      <c r="AC648" s="27"/>
      <c r="AD648" s="31"/>
      <c r="AE648" s="32" t="str">
        <f t="shared" si="52"/>
        <v/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2556</v>
      </c>
      <c r="C649" s="25" t="s">
        <v>2557</v>
      </c>
      <c r="D649" s="23" t="s">
        <v>2237</v>
      </c>
      <c r="E649" s="43">
        <v>46126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43">
        <v>46193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30"/>
      <c r="X649" s="30"/>
      <c r="Y649" s="30"/>
      <c r="Z649" s="30"/>
      <c r="AA649" s="30"/>
      <c r="AB649" s="30"/>
      <c r="AC649" s="27"/>
      <c r="AD649" s="31"/>
      <c r="AE649" s="32" t="str">
        <f t="shared" si="52"/>
        <v/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2558</v>
      </c>
      <c r="C650" s="41" t="s">
        <v>2559</v>
      </c>
      <c r="D650" s="39" t="s">
        <v>2237</v>
      </c>
      <c r="E650" s="43">
        <v>46126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43">
        <v>46193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30"/>
      <c r="X650" s="30"/>
      <c r="Y650" s="30"/>
      <c r="Z650" s="30"/>
      <c r="AA650" s="30"/>
      <c r="AB650" s="30"/>
      <c r="AC650" s="27"/>
      <c r="AD650" s="31"/>
      <c r="AE650" s="32" t="str">
        <f t="shared" si="52"/>
        <v/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2560</v>
      </c>
      <c r="C651" s="25" t="s">
        <v>2561</v>
      </c>
      <c r="D651" s="23" t="s">
        <v>2237</v>
      </c>
      <c r="E651" s="43">
        <v>46126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43">
        <v>46193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30"/>
      <c r="X651" s="30"/>
      <c r="Y651" s="30"/>
      <c r="Z651" s="30"/>
      <c r="AA651" s="30"/>
      <c r="AB651" s="30"/>
      <c r="AC651" s="27"/>
      <c r="AD651" s="31"/>
      <c r="AE651" s="32" t="str">
        <f t="shared" si="52"/>
        <v/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2562</v>
      </c>
      <c r="C652" s="41" t="s">
        <v>2563</v>
      </c>
      <c r="D652" s="39" t="s">
        <v>2237</v>
      </c>
      <c r="E652" s="43">
        <v>46126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43">
        <v>46193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30"/>
      <c r="X652" s="30"/>
      <c r="Y652" s="30"/>
      <c r="Z652" s="30"/>
      <c r="AA652" s="30"/>
      <c r="AB652" s="30"/>
      <c r="AC652" s="27"/>
      <c r="AD652" s="31"/>
      <c r="AE652" s="32" t="str">
        <f t="shared" si="52"/>
        <v/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2564</v>
      </c>
      <c r="C653" s="25" t="s">
        <v>2565</v>
      </c>
      <c r="D653" s="23" t="s">
        <v>2237</v>
      </c>
      <c r="E653" s="43">
        <v>46126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43">
        <v>46193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30"/>
      <c r="X653" s="30"/>
      <c r="Y653" s="30"/>
      <c r="Z653" s="30"/>
      <c r="AA653" s="30"/>
      <c r="AB653" s="30"/>
      <c r="AC653" s="27"/>
      <c r="AD653" s="31"/>
      <c r="AE653" s="32" t="str">
        <f t="shared" si="52"/>
        <v/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2566</v>
      </c>
      <c r="C654" s="41" t="s">
        <v>2567</v>
      </c>
      <c r="D654" s="39" t="s">
        <v>2237</v>
      </c>
      <c r="E654" s="43">
        <v>46126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43">
        <v>46193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30"/>
      <c r="X654" s="30"/>
      <c r="Y654" s="30"/>
      <c r="Z654" s="30"/>
      <c r="AA654" s="30"/>
      <c r="AB654" s="30"/>
      <c r="AC654" s="27"/>
      <c r="AD654" s="31"/>
      <c r="AE654" s="32" t="str">
        <f t="shared" si="52"/>
        <v/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2568</v>
      </c>
      <c r="C655" s="25" t="s">
        <v>2569</v>
      </c>
      <c r="D655" s="23" t="s">
        <v>2237</v>
      </c>
      <c r="E655" s="43">
        <v>46126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43">
        <v>46193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30"/>
      <c r="X655" s="30"/>
      <c r="Y655" s="30"/>
      <c r="Z655" s="30"/>
      <c r="AA655" s="30"/>
      <c r="AB655" s="30"/>
      <c r="AC655" s="27"/>
      <c r="AD655" s="31"/>
      <c r="AE655" s="32" t="str">
        <f t="shared" si="52"/>
        <v/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2570</v>
      </c>
      <c r="C656" s="41" t="s">
        <v>2571</v>
      </c>
      <c r="D656" s="39" t="s">
        <v>2237</v>
      </c>
      <c r="E656" s="43">
        <v>46126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43">
        <v>46193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30"/>
      <c r="X656" s="30"/>
      <c r="Y656" s="30"/>
      <c r="Z656" s="30"/>
      <c r="AA656" s="30"/>
      <c r="AB656" s="30"/>
      <c r="AC656" s="27"/>
      <c r="AD656" s="31"/>
      <c r="AE656" s="32" t="str">
        <f t="shared" si="52"/>
        <v/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2572</v>
      </c>
      <c r="C657" s="25" t="s">
        <v>2573</v>
      </c>
      <c r="D657" s="23" t="s">
        <v>2237</v>
      </c>
      <c r="E657" s="43">
        <v>46126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43">
        <v>46193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30"/>
      <c r="X657" s="30"/>
      <c r="Y657" s="30"/>
      <c r="Z657" s="30"/>
      <c r="AA657" s="30"/>
      <c r="AB657" s="30"/>
      <c r="AC657" s="27"/>
      <c r="AD657" s="31"/>
      <c r="AE657" s="32" t="str">
        <f t="shared" si="52"/>
        <v/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2574</v>
      </c>
      <c r="C658" s="41" t="s">
        <v>2575</v>
      </c>
      <c r="D658" s="39" t="s">
        <v>2237</v>
      </c>
      <c r="E658" s="43">
        <v>46126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43">
        <v>46193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30"/>
      <c r="X658" s="30"/>
      <c r="Y658" s="30"/>
      <c r="Z658" s="30"/>
      <c r="AA658" s="30"/>
      <c r="AB658" s="30"/>
      <c r="AC658" s="27"/>
      <c r="AD658" s="31"/>
      <c r="AE658" s="32" t="str">
        <f t="shared" si="52"/>
        <v/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2576</v>
      </c>
      <c r="C659" s="25" t="s">
        <v>2577</v>
      </c>
      <c r="D659" s="23" t="s">
        <v>2237</v>
      </c>
      <c r="E659" s="43">
        <v>46126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43">
        <v>46193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30"/>
      <c r="X659" s="30"/>
      <c r="Y659" s="30"/>
      <c r="Z659" s="30"/>
      <c r="AA659" s="30"/>
      <c r="AB659" s="30"/>
      <c r="AC659" s="27"/>
      <c r="AD659" s="31"/>
      <c r="AE659" s="32" t="str">
        <f t="shared" si="52"/>
        <v/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2578</v>
      </c>
      <c r="C660" s="41" t="s">
        <v>2579</v>
      </c>
      <c r="D660" s="39" t="s">
        <v>2237</v>
      </c>
      <c r="E660" s="43">
        <v>46126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43">
        <v>46193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30"/>
      <c r="X660" s="30"/>
      <c r="Y660" s="30"/>
      <c r="Z660" s="30"/>
      <c r="AA660" s="30"/>
      <c r="AB660" s="30"/>
      <c r="AC660" s="27"/>
      <c r="AD660" s="31"/>
      <c r="AE660" s="32" t="str">
        <f t="shared" si="52"/>
        <v/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2580</v>
      </c>
      <c r="C661" s="25" t="s">
        <v>2581</v>
      </c>
      <c r="D661" s="23" t="s">
        <v>2237</v>
      </c>
      <c r="E661" s="43">
        <v>46126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43">
        <v>46193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30"/>
      <c r="X661" s="30"/>
      <c r="Y661" s="30"/>
      <c r="Z661" s="30"/>
      <c r="AA661" s="30"/>
      <c r="AB661" s="30"/>
      <c r="AC661" s="27"/>
      <c r="AD661" s="31"/>
      <c r="AE661" s="32" t="str">
        <f t="shared" si="52"/>
        <v/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2582</v>
      </c>
      <c r="C662" s="41" t="s">
        <v>2583</v>
      </c>
      <c r="D662" s="39" t="s">
        <v>2237</v>
      </c>
      <c r="E662" s="43">
        <v>46126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43">
        <v>46193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30"/>
      <c r="X662" s="30"/>
      <c r="Y662" s="30"/>
      <c r="Z662" s="30"/>
      <c r="AA662" s="30"/>
      <c r="AB662" s="30"/>
      <c r="AC662" s="27"/>
      <c r="AD662" s="31"/>
      <c r="AE662" s="32" t="str">
        <f t="shared" si="52"/>
        <v/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2584</v>
      </c>
      <c r="C663" s="25" t="s">
        <v>2585</v>
      </c>
      <c r="D663" s="23" t="s">
        <v>2237</v>
      </c>
      <c r="E663" s="43">
        <v>46126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43">
        <v>46193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30"/>
      <c r="X663" s="30"/>
      <c r="Y663" s="30"/>
      <c r="Z663" s="30"/>
      <c r="AA663" s="30"/>
      <c r="AB663" s="30"/>
      <c r="AC663" s="27"/>
      <c r="AD663" s="31"/>
      <c r="AE663" s="32" t="str">
        <f t="shared" si="52"/>
        <v/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2586</v>
      </c>
      <c r="C664" s="41" t="s">
        <v>2587</v>
      </c>
      <c r="D664" s="39" t="s">
        <v>2237</v>
      </c>
      <c r="E664" s="43">
        <v>46126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43">
        <v>46193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30"/>
      <c r="X664" s="30"/>
      <c r="Y664" s="30"/>
      <c r="Z664" s="30"/>
      <c r="AA664" s="30"/>
      <c r="AB664" s="30"/>
      <c r="AC664" s="27"/>
      <c r="AD664" s="31"/>
      <c r="AE664" s="32" t="str">
        <f t="shared" si="52"/>
        <v/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2588</v>
      </c>
      <c r="C665" s="25" t="s">
        <v>2589</v>
      </c>
      <c r="D665" s="23" t="s">
        <v>2237</v>
      </c>
      <c r="E665" s="43">
        <v>46126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43">
        <v>46193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30"/>
      <c r="X665" s="30"/>
      <c r="Y665" s="30"/>
      <c r="Z665" s="30"/>
      <c r="AA665" s="30"/>
      <c r="AB665" s="30"/>
      <c r="AC665" s="27"/>
      <c r="AD665" s="31"/>
      <c r="AE665" s="32" t="str">
        <f t="shared" si="52"/>
        <v/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2590</v>
      </c>
      <c r="C666" s="41" t="s">
        <v>2591</v>
      </c>
      <c r="D666" s="39" t="s">
        <v>2237</v>
      </c>
      <c r="E666" s="43">
        <v>46126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43">
        <v>46193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30"/>
      <c r="X666" s="30"/>
      <c r="Y666" s="30"/>
      <c r="Z666" s="30"/>
      <c r="AA666" s="30"/>
      <c r="AB666" s="30"/>
      <c r="AC666" s="27"/>
      <c r="AD666" s="31"/>
      <c r="AE666" s="32" t="str">
        <f t="shared" si="52"/>
        <v/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2592</v>
      </c>
      <c r="C667" s="25" t="s">
        <v>2593</v>
      </c>
      <c r="D667" s="23" t="s">
        <v>2237</v>
      </c>
      <c r="E667" s="43">
        <v>46126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43">
        <v>46193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30"/>
      <c r="X667" s="30"/>
      <c r="Y667" s="30"/>
      <c r="Z667" s="30"/>
      <c r="AA667" s="30"/>
      <c r="AB667" s="30"/>
      <c r="AC667" s="27"/>
      <c r="AD667" s="31"/>
      <c r="AE667" s="32" t="str">
        <f t="shared" si="52"/>
        <v/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2594</v>
      </c>
      <c r="C668" s="41" t="s">
        <v>2595</v>
      </c>
      <c r="D668" s="39" t="s">
        <v>2237</v>
      </c>
      <c r="E668" s="43">
        <v>46126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43">
        <v>46193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30"/>
      <c r="X668" s="30"/>
      <c r="Y668" s="30"/>
      <c r="Z668" s="30"/>
      <c r="AA668" s="30"/>
      <c r="AB668" s="30"/>
      <c r="AC668" s="27"/>
      <c r="AD668" s="31"/>
      <c r="AE668" s="32" t="str">
        <f t="shared" si="52"/>
        <v/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2596</v>
      </c>
      <c r="C669" s="25" t="s">
        <v>2597</v>
      </c>
      <c r="D669" s="23" t="s">
        <v>2237</v>
      </c>
      <c r="E669" s="43">
        <v>46126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43">
        <v>46193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30"/>
      <c r="X669" s="30"/>
      <c r="Y669" s="30"/>
      <c r="Z669" s="30"/>
      <c r="AA669" s="30"/>
      <c r="AB669" s="30"/>
      <c r="AC669" s="27"/>
      <c r="AD669" s="31"/>
      <c r="AE669" s="32" t="str">
        <f t="shared" si="52"/>
        <v/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2598</v>
      </c>
      <c r="C670" s="41" t="s">
        <v>2599</v>
      </c>
      <c r="D670" s="39" t="s">
        <v>2237</v>
      </c>
      <c r="E670" s="43">
        <v>46126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43">
        <v>46193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30"/>
      <c r="X670" s="30"/>
      <c r="Y670" s="30"/>
      <c r="Z670" s="30"/>
      <c r="AA670" s="30"/>
      <c r="AB670" s="30"/>
      <c r="AC670" s="27"/>
      <c r="AD670" s="31"/>
      <c r="AE670" s="32" t="str">
        <f t="shared" si="52"/>
        <v/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2600</v>
      </c>
      <c r="C671" s="25" t="s">
        <v>2601</v>
      </c>
      <c r="D671" s="23" t="s">
        <v>2237</v>
      </c>
      <c r="E671" s="43">
        <v>46126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43">
        <v>46193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30"/>
      <c r="X671" s="30"/>
      <c r="Y671" s="30"/>
      <c r="Z671" s="30"/>
      <c r="AA671" s="30"/>
      <c r="AB671" s="30"/>
      <c r="AC671" s="27"/>
      <c r="AD671" s="31"/>
      <c r="AE671" s="32" t="str">
        <f t="shared" si="52"/>
        <v/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2602</v>
      </c>
      <c r="C672" s="41" t="s">
        <v>2603</v>
      </c>
      <c r="D672" s="39" t="s">
        <v>2237</v>
      </c>
      <c r="E672" s="43">
        <v>46126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43">
        <v>46193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30"/>
      <c r="X672" s="30"/>
      <c r="Y672" s="30"/>
      <c r="Z672" s="30"/>
      <c r="AA672" s="30"/>
      <c r="AB672" s="30"/>
      <c r="AC672" s="27"/>
      <c r="AD672" s="31"/>
      <c r="AE672" s="32" t="str">
        <f t="shared" si="52"/>
        <v/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2604</v>
      </c>
      <c r="C673" s="25" t="s">
        <v>2605</v>
      </c>
      <c r="D673" s="23" t="s">
        <v>2237</v>
      </c>
      <c r="E673" s="43">
        <v>46126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43">
        <v>46193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30"/>
      <c r="X673" s="30"/>
      <c r="Y673" s="30"/>
      <c r="Z673" s="30"/>
      <c r="AA673" s="30"/>
      <c r="AB673" s="30"/>
      <c r="AC673" s="27"/>
      <c r="AD673" s="31"/>
      <c r="AE673" s="32" t="str">
        <f t="shared" si="52"/>
        <v/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2606</v>
      </c>
      <c r="C674" s="41" t="s">
        <v>2607</v>
      </c>
      <c r="D674" s="39" t="s">
        <v>2237</v>
      </c>
      <c r="E674" s="43">
        <v>46126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43">
        <v>46193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30"/>
      <c r="X674" s="30"/>
      <c r="Y674" s="30"/>
      <c r="Z674" s="30"/>
      <c r="AA674" s="30"/>
      <c r="AB674" s="30"/>
      <c r="AC674" s="27"/>
      <c r="AD674" s="31"/>
      <c r="AE674" s="32" t="str">
        <f t="shared" si="52"/>
        <v/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2608</v>
      </c>
      <c r="C675" s="25" t="s">
        <v>2609</v>
      </c>
      <c r="D675" s="23" t="s">
        <v>2237</v>
      </c>
      <c r="E675" s="43">
        <v>46126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43">
        <v>46193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30"/>
      <c r="X675" s="30"/>
      <c r="Y675" s="30"/>
      <c r="Z675" s="30"/>
      <c r="AA675" s="30"/>
      <c r="AB675" s="30"/>
      <c r="AC675" s="27"/>
      <c r="AD675" s="31"/>
      <c r="AE675" s="32" t="str">
        <f t="shared" si="52"/>
        <v/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2610</v>
      </c>
      <c r="C676" s="41" t="s">
        <v>2611</v>
      </c>
      <c r="D676" s="39" t="s">
        <v>2237</v>
      </c>
      <c r="E676" s="43">
        <v>46126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43">
        <v>46193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30"/>
      <c r="X676" s="30"/>
      <c r="Y676" s="30"/>
      <c r="Z676" s="30"/>
      <c r="AA676" s="30"/>
      <c r="AB676" s="30"/>
      <c r="AC676" s="27"/>
      <c r="AD676" s="31"/>
      <c r="AE676" s="32" t="str">
        <f t="shared" si="52"/>
        <v/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2612</v>
      </c>
      <c r="C677" s="25" t="s">
        <v>2613</v>
      </c>
      <c r="D677" s="23" t="s">
        <v>2237</v>
      </c>
      <c r="E677" s="43">
        <v>46126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43">
        <v>46193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30"/>
      <c r="X677" s="30"/>
      <c r="Y677" s="30"/>
      <c r="Z677" s="30"/>
      <c r="AA677" s="30"/>
      <c r="AB677" s="30"/>
      <c r="AC677" s="27"/>
      <c r="AD677" s="31"/>
      <c r="AE677" s="32" t="str">
        <f t="shared" si="52"/>
        <v/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2614</v>
      </c>
      <c r="C678" s="41" t="s">
        <v>2615</v>
      </c>
      <c r="D678" s="39" t="s">
        <v>2237</v>
      </c>
      <c r="E678" s="43">
        <v>46126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43">
        <v>46193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30"/>
      <c r="X678" s="30"/>
      <c r="Y678" s="30"/>
      <c r="Z678" s="30"/>
      <c r="AA678" s="30"/>
      <c r="AB678" s="30"/>
      <c r="AC678" s="27"/>
      <c r="AD678" s="31"/>
      <c r="AE678" s="32" t="str">
        <f t="shared" si="52"/>
        <v/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2616</v>
      </c>
      <c r="C679" s="25" t="s">
        <v>2617</v>
      </c>
      <c r="D679" s="23" t="s">
        <v>2237</v>
      </c>
      <c r="E679" s="43">
        <v>46126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43">
        <v>46193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30"/>
      <c r="X679" s="30"/>
      <c r="Y679" s="30"/>
      <c r="Z679" s="30"/>
      <c r="AA679" s="30"/>
      <c r="AB679" s="30"/>
      <c r="AC679" s="27"/>
      <c r="AD679" s="31"/>
      <c r="AE679" s="32" t="str">
        <f t="shared" si="52"/>
        <v/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2618</v>
      </c>
      <c r="C680" s="41" t="s">
        <v>2619</v>
      </c>
      <c r="D680" s="39" t="s">
        <v>2237</v>
      </c>
      <c r="E680" s="43">
        <v>46126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43">
        <v>46193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30"/>
      <c r="X680" s="30"/>
      <c r="Y680" s="30"/>
      <c r="Z680" s="30"/>
      <c r="AA680" s="30"/>
      <c r="AB680" s="30"/>
      <c r="AC680" s="27"/>
      <c r="AD680" s="31"/>
      <c r="AE680" s="32" t="str">
        <f t="shared" si="52"/>
        <v/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2620</v>
      </c>
      <c r="C681" s="25" t="s">
        <v>2621</v>
      </c>
      <c r="D681" s="23" t="s">
        <v>2237</v>
      </c>
      <c r="E681" s="43">
        <v>46126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43">
        <v>46193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30"/>
      <c r="X681" s="30"/>
      <c r="Y681" s="30"/>
      <c r="Z681" s="30"/>
      <c r="AA681" s="30"/>
      <c r="AB681" s="30"/>
      <c r="AC681" s="27"/>
      <c r="AD681" s="31"/>
      <c r="AE681" s="32" t="str">
        <f t="shared" si="52"/>
        <v/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2622</v>
      </c>
      <c r="C682" s="41" t="s">
        <v>2623</v>
      </c>
      <c r="D682" s="39" t="s">
        <v>2237</v>
      </c>
      <c r="E682" s="43">
        <v>46126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43">
        <v>46193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30"/>
      <c r="X682" s="30"/>
      <c r="Y682" s="30"/>
      <c r="Z682" s="30"/>
      <c r="AA682" s="30"/>
      <c r="AB682" s="30"/>
      <c r="AC682" s="27"/>
      <c r="AD682" s="31"/>
      <c r="AE682" s="32" t="str">
        <f t="shared" si="52"/>
        <v/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2624</v>
      </c>
      <c r="C683" s="25" t="s">
        <v>2625</v>
      </c>
      <c r="D683" s="23" t="s">
        <v>2237</v>
      </c>
      <c r="E683" s="43">
        <v>46126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43">
        <v>46193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30"/>
      <c r="X683" s="30"/>
      <c r="Y683" s="30"/>
      <c r="Z683" s="30"/>
      <c r="AA683" s="30"/>
      <c r="AB683" s="30"/>
      <c r="AC683" s="27"/>
      <c r="AD683" s="31"/>
      <c r="AE683" s="32" t="str">
        <f t="shared" si="52"/>
        <v/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2626</v>
      </c>
      <c r="C684" s="41" t="s">
        <v>2627</v>
      </c>
      <c r="D684" s="39" t="s">
        <v>2237</v>
      </c>
      <c r="E684" s="43">
        <v>46126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43">
        <v>46193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30"/>
      <c r="X684" s="30"/>
      <c r="Y684" s="30"/>
      <c r="Z684" s="30"/>
      <c r="AA684" s="30"/>
      <c r="AB684" s="30"/>
      <c r="AC684" s="27"/>
      <c r="AD684" s="31"/>
      <c r="AE684" s="32" t="str">
        <f t="shared" si="52"/>
        <v/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2628</v>
      </c>
      <c r="C685" s="25" t="s">
        <v>2629</v>
      </c>
      <c r="D685" s="23" t="s">
        <v>2237</v>
      </c>
      <c r="E685" s="43">
        <v>46126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43">
        <v>46193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30"/>
      <c r="X685" s="30"/>
      <c r="Y685" s="30"/>
      <c r="Z685" s="30"/>
      <c r="AA685" s="30"/>
      <c r="AB685" s="30"/>
      <c r="AC685" s="27"/>
      <c r="AD685" s="31"/>
      <c r="AE685" s="32" t="str">
        <f t="shared" si="52"/>
        <v/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2630</v>
      </c>
      <c r="C686" s="41" t="s">
        <v>2631</v>
      </c>
      <c r="D686" s="39" t="s">
        <v>2237</v>
      </c>
      <c r="E686" s="43">
        <v>46126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43">
        <v>46193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30"/>
      <c r="X686" s="30"/>
      <c r="Y686" s="30"/>
      <c r="Z686" s="30"/>
      <c r="AA686" s="30"/>
      <c r="AB686" s="30"/>
      <c r="AC686" s="27"/>
      <c r="AD686" s="31"/>
      <c r="AE686" s="32" t="str">
        <f t="shared" si="52"/>
        <v/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2632</v>
      </c>
      <c r="C687" s="25" t="s">
        <v>2633</v>
      </c>
      <c r="D687" s="23" t="s">
        <v>2237</v>
      </c>
      <c r="E687" s="43">
        <v>46126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43">
        <v>46193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30"/>
      <c r="X687" s="30"/>
      <c r="Y687" s="30"/>
      <c r="Z687" s="30"/>
      <c r="AA687" s="30"/>
      <c r="AB687" s="30"/>
      <c r="AC687" s="27"/>
      <c r="AD687" s="31"/>
      <c r="AE687" s="32" t="str">
        <f t="shared" si="52"/>
        <v/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2634</v>
      </c>
      <c r="C688" s="41" t="s">
        <v>2635</v>
      </c>
      <c r="D688" s="39" t="s">
        <v>2237</v>
      </c>
      <c r="E688" s="43">
        <v>46126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43">
        <v>46193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30"/>
      <c r="X688" s="30"/>
      <c r="Y688" s="30"/>
      <c r="Z688" s="30"/>
      <c r="AA688" s="30"/>
      <c r="AB688" s="30"/>
      <c r="AC688" s="27"/>
      <c r="AD688" s="31"/>
      <c r="AE688" s="32" t="str">
        <f t="shared" si="52"/>
        <v/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2636</v>
      </c>
      <c r="C689" s="25" t="s">
        <v>2637</v>
      </c>
      <c r="D689" s="23" t="s">
        <v>2237</v>
      </c>
      <c r="E689" s="43">
        <v>46126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43">
        <v>46193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30"/>
      <c r="X689" s="30"/>
      <c r="Y689" s="30"/>
      <c r="Z689" s="30"/>
      <c r="AA689" s="30"/>
      <c r="AB689" s="30"/>
      <c r="AC689" s="27"/>
      <c r="AD689" s="31"/>
      <c r="AE689" s="32" t="str">
        <f t="shared" si="52"/>
        <v/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2638</v>
      </c>
      <c r="C690" s="41" t="s">
        <v>2639</v>
      </c>
      <c r="D690" s="39" t="s">
        <v>2237</v>
      </c>
      <c r="E690" s="43">
        <v>46126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43">
        <v>46193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30"/>
      <c r="X690" s="30"/>
      <c r="Y690" s="30"/>
      <c r="Z690" s="30"/>
      <c r="AA690" s="30"/>
      <c r="AB690" s="30"/>
      <c r="AC690" s="27"/>
      <c r="AD690" s="31"/>
      <c r="AE690" s="32" t="str">
        <f t="shared" si="52"/>
        <v/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2640</v>
      </c>
      <c r="C691" s="25" t="s">
        <v>2641</v>
      </c>
      <c r="D691" s="23" t="s">
        <v>2237</v>
      </c>
      <c r="E691" s="43">
        <v>46126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43">
        <v>46193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30"/>
      <c r="X691" s="30"/>
      <c r="Y691" s="30"/>
      <c r="Z691" s="30"/>
      <c r="AA691" s="30"/>
      <c r="AB691" s="30"/>
      <c r="AC691" s="27"/>
      <c r="AD691" s="31"/>
      <c r="AE691" s="32" t="str">
        <f t="shared" si="52"/>
        <v/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2642</v>
      </c>
      <c r="C692" s="41" t="s">
        <v>2643</v>
      </c>
      <c r="D692" s="39" t="s">
        <v>2237</v>
      </c>
      <c r="E692" s="43">
        <v>46126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43">
        <v>46193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30"/>
      <c r="X692" s="30"/>
      <c r="Y692" s="30"/>
      <c r="Z692" s="30"/>
      <c r="AA692" s="30"/>
      <c r="AB692" s="30"/>
      <c r="AC692" s="27"/>
      <c r="AD692" s="31"/>
      <c r="AE692" s="32" t="str">
        <f t="shared" si="52"/>
        <v/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2644</v>
      </c>
      <c r="C693" s="25" t="s">
        <v>2645</v>
      </c>
      <c r="D693" s="23" t="s">
        <v>2237</v>
      </c>
      <c r="E693" s="43">
        <v>46126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43">
        <v>46193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30"/>
      <c r="X693" s="30"/>
      <c r="Y693" s="30"/>
      <c r="Z693" s="30"/>
      <c r="AA693" s="30"/>
      <c r="AB693" s="30"/>
      <c r="AC693" s="27"/>
      <c r="AD693" s="31"/>
      <c r="AE693" s="32" t="str">
        <f t="shared" si="52"/>
        <v/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2646</v>
      </c>
      <c r="C694" s="41" t="s">
        <v>2647</v>
      </c>
      <c r="D694" s="39" t="s">
        <v>2237</v>
      </c>
      <c r="E694" s="43">
        <v>46126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43">
        <v>46193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30"/>
      <c r="X694" s="30"/>
      <c r="Y694" s="30"/>
      <c r="Z694" s="30"/>
      <c r="AA694" s="30"/>
      <c r="AB694" s="30"/>
      <c r="AC694" s="27"/>
      <c r="AD694" s="31"/>
      <c r="AE694" s="32" t="str">
        <f t="shared" si="52"/>
        <v/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2648</v>
      </c>
      <c r="C695" s="25" t="s">
        <v>2649</v>
      </c>
      <c r="D695" s="23" t="s">
        <v>2237</v>
      </c>
      <c r="E695" s="43">
        <v>46126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43">
        <v>46193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30"/>
      <c r="X695" s="30"/>
      <c r="Y695" s="30"/>
      <c r="Z695" s="30"/>
      <c r="AA695" s="30"/>
      <c r="AB695" s="30"/>
      <c r="AC695" s="27"/>
      <c r="AD695" s="31"/>
      <c r="AE695" s="32" t="str">
        <f t="shared" si="52"/>
        <v/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2650</v>
      </c>
      <c r="C696" s="41" t="s">
        <v>2651</v>
      </c>
      <c r="D696" s="39" t="s">
        <v>2237</v>
      </c>
      <c r="E696" s="43">
        <v>46126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43">
        <v>46193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30"/>
      <c r="X696" s="30"/>
      <c r="Y696" s="30"/>
      <c r="Z696" s="30"/>
      <c r="AA696" s="30"/>
      <c r="AB696" s="30"/>
      <c r="AC696" s="27"/>
      <c r="AD696" s="31"/>
      <c r="AE696" s="32" t="str">
        <f t="shared" si="52"/>
        <v/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2652</v>
      </c>
      <c r="C697" s="25" t="s">
        <v>2653</v>
      </c>
      <c r="D697" s="23" t="s">
        <v>2237</v>
      </c>
      <c r="E697" s="43">
        <v>46126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43">
        <v>46193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30"/>
      <c r="X697" s="30"/>
      <c r="Y697" s="30"/>
      <c r="Z697" s="30"/>
      <c r="AA697" s="30"/>
      <c r="AB697" s="30"/>
      <c r="AC697" s="27"/>
      <c r="AD697" s="31"/>
      <c r="AE697" s="32" t="str">
        <f t="shared" si="52"/>
        <v/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2654</v>
      </c>
      <c r="C698" s="41" t="s">
        <v>2655</v>
      </c>
      <c r="D698" s="39" t="s">
        <v>2237</v>
      </c>
      <c r="E698" s="43">
        <v>46126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43">
        <v>46193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30"/>
      <c r="X698" s="30"/>
      <c r="Y698" s="30"/>
      <c r="Z698" s="30"/>
      <c r="AA698" s="30"/>
      <c r="AB698" s="30"/>
      <c r="AC698" s="27"/>
      <c r="AD698" s="31"/>
      <c r="AE698" s="32" t="str">
        <f t="shared" si="52"/>
        <v/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2656</v>
      </c>
      <c r="C699" s="25" t="s">
        <v>2657</v>
      </c>
      <c r="D699" s="23" t="s">
        <v>2237</v>
      </c>
      <c r="E699" s="43">
        <v>46126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43">
        <v>46193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30"/>
      <c r="X699" s="30"/>
      <c r="Y699" s="30"/>
      <c r="Z699" s="30"/>
      <c r="AA699" s="30"/>
      <c r="AB699" s="30"/>
      <c r="AC699" s="27"/>
      <c r="AD699" s="31"/>
      <c r="AE699" s="32" t="str">
        <f t="shared" si="52"/>
        <v/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2658</v>
      </c>
      <c r="C700" s="41" t="s">
        <v>2659</v>
      </c>
      <c r="D700" s="39" t="s">
        <v>2237</v>
      </c>
      <c r="E700" s="43">
        <v>46126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43">
        <v>46193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30"/>
      <c r="X700" s="30"/>
      <c r="Y700" s="30"/>
      <c r="Z700" s="30"/>
      <c r="AA700" s="30"/>
      <c r="AB700" s="30"/>
      <c r="AC700" s="27"/>
      <c r="AD700" s="31"/>
      <c r="AE700" s="32" t="str">
        <f t="shared" si="52"/>
        <v/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2660</v>
      </c>
      <c r="C701" s="25" t="s">
        <v>2661</v>
      </c>
      <c r="D701" s="23" t="s">
        <v>2237</v>
      </c>
      <c r="E701" s="43">
        <v>46126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43">
        <v>46193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30"/>
      <c r="X701" s="30"/>
      <c r="Y701" s="30"/>
      <c r="Z701" s="30"/>
      <c r="AA701" s="30"/>
      <c r="AB701" s="30"/>
      <c r="AC701" s="27"/>
      <c r="AD701" s="31"/>
      <c r="AE701" s="32" t="str">
        <f t="shared" si="52"/>
        <v/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2662</v>
      </c>
      <c r="C702" s="41" t="s">
        <v>2663</v>
      </c>
      <c r="D702" s="39" t="s">
        <v>2237</v>
      </c>
      <c r="E702" s="43">
        <v>46126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43">
        <v>46193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30"/>
      <c r="X702" s="30"/>
      <c r="Y702" s="30"/>
      <c r="Z702" s="30"/>
      <c r="AA702" s="30"/>
      <c r="AB702" s="30"/>
      <c r="AC702" s="27"/>
      <c r="AD702" s="31"/>
      <c r="AE702" s="32" t="str">
        <f t="shared" si="52"/>
        <v/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2664</v>
      </c>
      <c r="C703" s="25" t="s">
        <v>2665</v>
      </c>
      <c r="D703" s="23" t="s">
        <v>2237</v>
      </c>
      <c r="E703" s="43">
        <v>46126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43">
        <v>46193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30"/>
      <c r="X703" s="30"/>
      <c r="Y703" s="30"/>
      <c r="Z703" s="30"/>
      <c r="AA703" s="30"/>
      <c r="AB703" s="30"/>
      <c r="AC703" s="27"/>
      <c r="AD703" s="31"/>
      <c r="AE703" s="32" t="str">
        <f t="shared" si="52"/>
        <v/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2666</v>
      </c>
      <c r="C704" s="41" t="s">
        <v>2667</v>
      </c>
      <c r="D704" s="39" t="s">
        <v>2237</v>
      </c>
      <c r="E704" s="43">
        <v>46126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43">
        <v>46193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30"/>
      <c r="X704" s="30"/>
      <c r="Y704" s="30"/>
      <c r="Z704" s="30"/>
      <c r="AA704" s="30"/>
      <c r="AB704" s="30"/>
      <c r="AC704" s="27"/>
      <c r="AD704" s="31"/>
      <c r="AE704" s="32" t="str">
        <f t="shared" si="52"/>
        <v/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2668</v>
      </c>
      <c r="C705" s="25" t="s">
        <v>2669</v>
      </c>
      <c r="D705" s="23" t="s">
        <v>2237</v>
      </c>
      <c r="E705" s="43">
        <v>46126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43">
        <v>46193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30"/>
      <c r="X705" s="30"/>
      <c r="Y705" s="30"/>
      <c r="Z705" s="30"/>
      <c r="AA705" s="30"/>
      <c r="AB705" s="30"/>
      <c r="AC705" s="27"/>
      <c r="AD705" s="31"/>
      <c r="AE705" s="32" t="str">
        <f t="shared" si="52"/>
        <v/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2670</v>
      </c>
      <c r="C706" s="41" t="s">
        <v>2671</v>
      </c>
      <c r="D706" s="39" t="s">
        <v>2237</v>
      </c>
      <c r="E706" s="43">
        <v>46126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43">
        <v>46193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30"/>
      <c r="X706" s="30"/>
      <c r="Y706" s="30"/>
      <c r="Z706" s="30"/>
      <c r="AA706" s="30"/>
      <c r="AB706" s="30"/>
      <c r="AC706" s="27"/>
      <c r="AD706" s="31"/>
      <c r="AE706" s="32" t="str">
        <f t="shared" si="52"/>
        <v/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2672</v>
      </c>
      <c r="C707" s="25" t="s">
        <v>2673</v>
      </c>
      <c r="D707" s="23" t="s">
        <v>2237</v>
      </c>
      <c r="E707" s="43">
        <v>46126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43">
        <v>46193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30"/>
      <c r="X707" s="30"/>
      <c r="Y707" s="30"/>
      <c r="Z707" s="30"/>
      <c r="AA707" s="30"/>
      <c r="AB707" s="30"/>
      <c r="AC707" s="27"/>
      <c r="AD707" s="31"/>
      <c r="AE707" s="32" t="str">
        <f t="shared" si="52"/>
        <v/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2674</v>
      </c>
      <c r="C708" s="41" t="s">
        <v>2675</v>
      </c>
      <c r="D708" s="39" t="s">
        <v>2237</v>
      </c>
      <c r="E708" s="43">
        <v>46126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43">
        <v>46193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30"/>
      <c r="X708" s="30"/>
      <c r="Y708" s="30"/>
      <c r="Z708" s="30"/>
      <c r="AA708" s="30"/>
      <c r="AB708" s="30"/>
      <c r="AC708" s="27"/>
      <c r="AD708" s="31"/>
      <c r="AE708" s="32" t="str">
        <f t="shared" si="52"/>
        <v/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2676</v>
      </c>
      <c r="C709" s="25" t="s">
        <v>2677</v>
      </c>
      <c r="D709" s="23" t="s">
        <v>2237</v>
      </c>
      <c r="E709" s="43">
        <v>46126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43">
        <v>46193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30"/>
      <c r="X709" s="30"/>
      <c r="Y709" s="30"/>
      <c r="Z709" s="30"/>
      <c r="AA709" s="30"/>
      <c r="AB709" s="30"/>
      <c r="AC709" s="27"/>
      <c r="AD709" s="31"/>
      <c r="AE709" s="32" t="str">
        <f t="shared" ref="AE709:AE772" si="57">IF(W709="","",IF(Z709="Yes","❌ Disc",IF(Y709="No","⚠ Missing",IF(AB709="Yes","✓ OK","⚠ Check"))))</f>
        <v/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2678</v>
      </c>
      <c r="C710" s="41" t="s">
        <v>2679</v>
      </c>
      <c r="D710" s="39" t="s">
        <v>2237</v>
      </c>
      <c r="E710" s="43">
        <v>46126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43">
        <v>46193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30"/>
      <c r="X710" s="30"/>
      <c r="Y710" s="30"/>
      <c r="Z710" s="30"/>
      <c r="AA710" s="30"/>
      <c r="AB710" s="30"/>
      <c r="AC710" s="27"/>
      <c r="AD710" s="31"/>
      <c r="AE710" s="32" t="str">
        <f t="shared" si="57"/>
        <v/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2680</v>
      </c>
      <c r="C711" s="25" t="s">
        <v>2681</v>
      </c>
      <c r="D711" s="23" t="s">
        <v>2237</v>
      </c>
      <c r="E711" s="43">
        <v>46126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43">
        <v>46193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30"/>
      <c r="X711" s="30"/>
      <c r="Y711" s="30"/>
      <c r="Z711" s="30"/>
      <c r="AA711" s="30"/>
      <c r="AB711" s="30"/>
      <c r="AC711" s="27"/>
      <c r="AD711" s="31"/>
      <c r="AE711" s="32" t="str">
        <f t="shared" si="57"/>
        <v/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2682</v>
      </c>
      <c r="C712" s="41" t="s">
        <v>2683</v>
      </c>
      <c r="D712" s="39" t="s">
        <v>2237</v>
      </c>
      <c r="E712" s="43">
        <v>46126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43">
        <v>46193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30"/>
      <c r="X712" s="30"/>
      <c r="Y712" s="30"/>
      <c r="Z712" s="30"/>
      <c r="AA712" s="30"/>
      <c r="AB712" s="30"/>
      <c r="AC712" s="27"/>
      <c r="AD712" s="31"/>
      <c r="AE712" s="32" t="str">
        <f t="shared" si="57"/>
        <v/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2684</v>
      </c>
      <c r="C713" s="25" t="s">
        <v>2685</v>
      </c>
      <c r="D713" s="23" t="s">
        <v>2237</v>
      </c>
      <c r="E713" s="43">
        <v>46126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43">
        <v>46193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30"/>
      <c r="X713" s="30"/>
      <c r="Y713" s="30"/>
      <c r="Z713" s="30"/>
      <c r="AA713" s="30"/>
      <c r="AB713" s="30"/>
      <c r="AC713" s="27"/>
      <c r="AD713" s="31"/>
      <c r="AE713" s="32" t="str">
        <f t="shared" si="57"/>
        <v/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2686</v>
      </c>
      <c r="C714" s="41" t="s">
        <v>2687</v>
      </c>
      <c r="D714" s="39" t="s">
        <v>2237</v>
      </c>
      <c r="E714" s="43">
        <v>46126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43">
        <v>46193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30"/>
      <c r="X714" s="30"/>
      <c r="Y714" s="30"/>
      <c r="Z714" s="30"/>
      <c r="AA714" s="30"/>
      <c r="AB714" s="30"/>
      <c r="AC714" s="27"/>
      <c r="AD714" s="31"/>
      <c r="AE714" s="32" t="str">
        <f t="shared" si="57"/>
        <v/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2688</v>
      </c>
      <c r="C715" s="25" t="s">
        <v>2689</v>
      </c>
      <c r="D715" s="23" t="s">
        <v>2237</v>
      </c>
      <c r="E715" s="43">
        <v>46126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43">
        <v>46193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30"/>
      <c r="X715" s="30"/>
      <c r="Y715" s="30"/>
      <c r="Z715" s="30"/>
      <c r="AA715" s="30"/>
      <c r="AB715" s="30"/>
      <c r="AC715" s="27"/>
      <c r="AD715" s="31"/>
      <c r="AE715" s="32" t="str">
        <f t="shared" si="57"/>
        <v/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2690</v>
      </c>
      <c r="C716" s="41" t="s">
        <v>2691</v>
      </c>
      <c r="D716" s="39" t="s">
        <v>2237</v>
      </c>
      <c r="E716" s="43">
        <v>46126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43">
        <v>46193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30"/>
      <c r="X716" s="30"/>
      <c r="Y716" s="30"/>
      <c r="Z716" s="30"/>
      <c r="AA716" s="30"/>
      <c r="AB716" s="30"/>
      <c r="AC716" s="27"/>
      <c r="AD716" s="31"/>
      <c r="AE716" s="32" t="str">
        <f t="shared" si="57"/>
        <v/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2692</v>
      </c>
      <c r="C717" s="25" t="s">
        <v>2693</v>
      </c>
      <c r="D717" s="23" t="s">
        <v>2237</v>
      </c>
      <c r="E717" s="43">
        <v>46126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43">
        <v>46193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30"/>
      <c r="X717" s="30"/>
      <c r="Y717" s="30"/>
      <c r="Z717" s="30"/>
      <c r="AA717" s="30"/>
      <c r="AB717" s="30"/>
      <c r="AC717" s="27"/>
      <c r="AD717" s="31"/>
      <c r="AE717" s="32" t="str">
        <f t="shared" si="57"/>
        <v/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2694</v>
      </c>
      <c r="C718" s="41" t="s">
        <v>2695</v>
      </c>
      <c r="D718" s="39" t="s">
        <v>2237</v>
      </c>
      <c r="E718" s="43">
        <v>46126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43">
        <v>46193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30"/>
      <c r="X718" s="30"/>
      <c r="Y718" s="30"/>
      <c r="Z718" s="30"/>
      <c r="AA718" s="30"/>
      <c r="AB718" s="30"/>
      <c r="AC718" s="27"/>
      <c r="AD718" s="31"/>
      <c r="AE718" s="32" t="str">
        <f t="shared" si="57"/>
        <v/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2696</v>
      </c>
      <c r="C719" s="25" t="s">
        <v>2697</v>
      </c>
      <c r="D719" s="23" t="s">
        <v>2237</v>
      </c>
      <c r="E719" s="43">
        <v>46126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43">
        <v>46193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30"/>
      <c r="X719" s="30"/>
      <c r="Y719" s="30"/>
      <c r="Z719" s="30"/>
      <c r="AA719" s="30"/>
      <c r="AB719" s="30"/>
      <c r="AC719" s="27"/>
      <c r="AD719" s="31"/>
      <c r="AE719" s="32" t="str">
        <f t="shared" si="57"/>
        <v/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2698</v>
      </c>
      <c r="C720" s="41" t="s">
        <v>2699</v>
      </c>
      <c r="D720" s="39" t="s">
        <v>2237</v>
      </c>
      <c r="E720" s="43">
        <v>46126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43">
        <v>46193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30"/>
      <c r="X720" s="30"/>
      <c r="Y720" s="30"/>
      <c r="Z720" s="30"/>
      <c r="AA720" s="30"/>
      <c r="AB720" s="30"/>
      <c r="AC720" s="27"/>
      <c r="AD720" s="31"/>
      <c r="AE720" s="32" t="str">
        <f t="shared" si="57"/>
        <v/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2700</v>
      </c>
      <c r="C721" s="25" t="s">
        <v>2701</v>
      </c>
      <c r="D721" s="23" t="s">
        <v>2237</v>
      </c>
      <c r="E721" s="43">
        <v>46126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43">
        <v>46193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30"/>
      <c r="X721" s="30"/>
      <c r="Y721" s="30"/>
      <c r="Z721" s="30"/>
      <c r="AA721" s="30"/>
      <c r="AB721" s="30"/>
      <c r="AC721" s="27"/>
      <c r="AD721" s="31"/>
      <c r="AE721" s="32" t="str">
        <f t="shared" si="57"/>
        <v/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2702</v>
      </c>
      <c r="C722" s="41" t="s">
        <v>2703</v>
      </c>
      <c r="D722" s="39" t="s">
        <v>2237</v>
      </c>
      <c r="E722" s="43">
        <v>46126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43">
        <v>46193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30"/>
      <c r="X722" s="30"/>
      <c r="Y722" s="30"/>
      <c r="Z722" s="30"/>
      <c r="AA722" s="30"/>
      <c r="AB722" s="30"/>
      <c r="AC722" s="27"/>
      <c r="AD722" s="31"/>
      <c r="AE722" s="32" t="str">
        <f t="shared" si="57"/>
        <v/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2704</v>
      </c>
      <c r="C723" s="25" t="s">
        <v>2705</v>
      </c>
      <c r="D723" s="23" t="s">
        <v>2237</v>
      </c>
      <c r="E723" s="43">
        <v>46126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43">
        <v>46193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30"/>
      <c r="X723" s="30"/>
      <c r="Y723" s="30"/>
      <c r="Z723" s="30"/>
      <c r="AA723" s="30"/>
      <c r="AB723" s="30"/>
      <c r="AC723" s="27"/>
      <c r="AD723" s="31"/>
      <c r="AE723" s="32" t="str">
        <f t="shared" si="57"/>
        <v/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2706</v>
      </c>
      <c r="C724" s="41" t="s">
        <v>2707</v>
      </c>
      <c r="D724" s="39" t="s">
        <v>2237</v>
      </c>
      <c r="E724" s="43">
        <v>46126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43">
        <v>46193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30"/>
      <c r="X724" s="30"/>
      <c r="Y724" s="30"/>
      <c r="Z724" s="30"/>
      <c r="AA724" s="30"/>
      <c r="AB724" s="30"/>
      <c r="AC724" s="27"/>
      <c r="AD724" s="31"/>
      <c r="AE724" s="32" t="str">
        <f t="shared" si="57"/>
        <v/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2708</v>
      </c>
      <c r="C725" s="25" t="s">
        <v>2709</v>
      </c>
      <c r="D725" s="23" t="s">
        <v>2237</v>
      </c>
      <c r="E725" s="43">
        <v>46126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43">
        <v>46193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30"/>
      <c r="X725" s="30"/>
      <c r="Y725" s="30"/>
      <c r="Z725" s="30"/>
      <c r="AA725" s="30"/>
      <c r="AB725" s="30"/>
      <c r="AC725" s="27"/>
      <c r="AD725" s="31"/>
      <c r="AE725" s="32" t="str">
        <f t="shared" si="57"/>
        <v/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2710</v>
      </c>
      <c r="C726" s="41" t="s">
        <v>2711</v>
      </c>
      <c r="D726" s="39" t="s">
        <v>2237</v>
      </c>
      <c r="E726" s="43">
        <v>46126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43">
        <v>46193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30"/>
      <c r="X726" s="30"/>
      <c r="Y726" s="30"/>
      <c r="Z726" s="30"/>
      <c r="AA726" s="30"/>
      <c r="AB726" s="30"/>
      <c r="AC726" s="27"/>
      <c r="AD726" s="31"/>
      <c r="AE726" s="32" t="str">
        <f t="shared" si="57"/>
        <v/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2712</v>
      </c>
      <c r="C727" s="25" t="s">
        <v>2713</v>
      </c>
      <c r="D727" s="23" t="s">
        <v>2237</v>
      </c>
      <c r="E727" s="43">
        <v>46126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43">
        <v>46193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30"/>
      <c r="X727" s="30"/>
      <c r="Y727" s="30"/>
      <c r="Z727" s="30"/>
      <c r="AA727" s="30"/>
      <c r="AB727" s="30"/>
      <c r="AC727" s="27"/>
      <c r="AD727" s="31"/>
      <c r="AE727" s="32" t="str">
        <f t="shared" si="57"/>
        <v/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2714</v>
      </c>
      <c r="C728" s="41" t="s">
        <v>2715</v>
      </c>
      <c r="D728" s="39" t="s">
        <v>2237</v>
      </c>
      <c r="E728" s="43">
        <v>46126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43">
        <v>46193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30"/>
      <c r="X728" s="30"/>
      <c r="Y728" s="30"/>
      <c r="Z728" s="30"/>
      <c r="AA728" s="30"/>
      <c r="AB728" s="30"/>
      <c r="AC728" s="27"/>
      <c r="AD728" s="31"/>
      <c r="AE728" s="32" t="str">
        <f t="shared" si="57"/>
        <v/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2716</v>
      </c>
      <c r="C729" s="25" t="s">
        <v>2717</v>
      </c>
      <c r="D729" s="23" t="s">
        <v>2237</v>
      </c>
      <c r="E729" s="43">
        <v>46126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43">
        <v>46193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30"/>
      <c r="X729" s="30"/>
      <c r="Y729" s="30"/>
      <c r="Z729" s="30"/>
      <c r="AA729" s="30"/>
      <c r="AB729" s="30"/>
      <c r="AC729" s="27"/>
      <c r="AD729" s="31"/>
      <c r="AE729" s="32" t="str">
        <f t="shared" si="57"/>
        <v/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2718</v>
      </c>
      <c r="C730" s="41" t="s">
        <v>2719</v>
      </c>
      <c r="D730" s="39" t="s">
        <v>2237</v>
      </c>
      <c r="E730" s="43">
        <v>46126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43">
        <v>46193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30"/>
      <c r="X730" s="30"/>
      <c r="Y730" s="30"/>
      <c r="Z730" s="30"/>
      <c r="AA730" s="30"/>
      <c r="AB730" s="30"/>
      <c r="AC730" s="27"/>
      <c r="AD730" s="31"/>
      <c r="AE730" s="32" t="str">
        <f t="shared" si="57"/>
        <v/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2720</v>
      </c>
      <c r="C731" s="25" t="s">
        <v>2721</v>
      </c>
      <c r="D731" s="23" t="s">
        <v>2237</v>
      </c>
      <c r="E731" s="43">
        <v>46126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43">
        <v>46193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30"/>
      <c r="X731" s="30"/>
      <c r="Y731" s="30"/>
      <c r="Z731" s="30"/>
      <c r="AA731" s="30"/>
      <c r="AB731" s="30"/>
      <c r="AC731" s="27"/>
      <c r="AD731" s="31"/>
      <c r="AE731" s="32" t="str">
        <f t="shared" si="57"/>
        <v/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2722</v>
      </c>
      <c r="C732" s="41" t="s">
        <v>2723</v>
      </c>
      <c r="D732" s="39" t="s">
        <v>2237</v>
      </c>
      <c r="E732" s="43">
        <v>46126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43">
        <v>46193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30"/>
      <c r="X732" s="30"/>
      <c r="Y732" s="30"/>
      <c r="Z732" s="30"/>
      <c r="AA732" s="30"/>
      <c r="AB732" s="30"/>
      <c r="AC732" s="27"/>
      <c r="AD732" s="31"/>
      <c r="AE732" s="32" t="str">
        <f t="shared" si="57"/>
        <v/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2724</v>
      </c>
      <c r="C733" s="25" t="s">
        <v>2725</v>
      </c>
      <c r="D733" s="23" t="s">
        <v>2237</v>
      </c>
      <c r="E733" s="43">
        <v>46126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43">
        <v>46193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30"/>
      <c r="X733" s="30"/>
      <c r="Y733" s="30"/>
      <c r="Z733" s="30"/>
      <c r="AA733" s="30"/>
      <c r="AB733" s="30"/>
      <c r="AC733" s="27"/>
      <c r="AD733" s="31"/>
      <c r="AE733" s="32" t="str">
        <f t="shared" si="57"/>
        <v/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2726</v>
      </c>
      <c r="C734" s="41" t="s">
        <v>2727</v>
      </c>
      <c r="D734" s="39" t="s">
        <v>2237</v>
      </c>
      <c r="E734" s="43">
        <v>46126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43">
        <v>46193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30"/>
      <c r="X734" s="30"/>
      <c r="Y734" s="30"/>
      <c r="Z734" s="30"/>
      <c r="AA734" s="30"/>
      <c r="AB734" s="30"/>
      <c r="AC734" s="27"/>
      <c r="AD734" s="31"/>
      <c r="AE734" s="32" t="str">
        <f t="shared" si="57"/>
        <v/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2728</v>
      </c>
      <c r="C735" s="25" t="s">
        <v>2729</v>
      </c>
      <c r="D735" s="23" t="s">
        <v>2237</v>
      </c>
      <c r="E735" s="43">
        <v>46126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43">
        <v>46193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30"/>
      <c r="X735" s="30"/>
      <c r="Y735" s="30"/>
      <c r="Z735" s="30"/>
      <c r="AA735" s="30"/>
      <c r="AB735" s="30"/>
      <c r="AC735" s="27"/>
      <c r="AD735" s="31"/>
      <c r="AE735" s="32" t="str">
        <f t="shared" si="57"/>
        <v/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2730</v>
      </c>
      <c r="C736" s="41" t="s">
        <v>2731</v>
      </c>
      <c r="D736" s="39" t="s">
        <v>2237</v>
      </c>
      <c r="E736" s="43">
        <v>46126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43">
        <v>46193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30"/>
      <c r="X736" s="30"/>
      <c r="Y736" s="30"/>
      <c r="Z736" s="30"/>
      <c r="AA736" s="30"/>
      <c r="AB736" s="30"/>
      <c r="AC736" s="27"/>
      <c r="AD736" s="31"/>
      <c r="AE736" s="32" t="str">
        <f t="shared" si="57"/>
        <v/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2732</v>
      </c>
      <c r="C737" s="25" t="s">
        <v>2733</v>
      </c>
      <c r="D737" s="23" t="s">
        <v>2237</v>
      </c>
      <c r="E737" s="43">
        <v>46126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43">
        <v>46193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30"/>
      <c r="X737" s="30"/>
      <c r="Y737" s="30"/>
      <c r="Z737" s="30"/>
      <c r="AA737" s="30"/>
      <c r="AB737" s="30"/>
      <c r="AC737" s="27"/>
      <c r="AD737" s="31"/>
      <c r="AE737" s="32" t="str">
        <f t="shared" si="57"/>
        <v/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2734</v>
      </c>
      <c r="C738" s="41" t="s">
        <v>2735</v>
      </c>
      <c r="D738" s="39" t="s">
        <v>2237</v>
      </c>
      <c r="E738" s="43">
        <v>46126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43">
        <v>46193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30"/>
      <c r="X738" s="30"/>
      <c r="Y738" s="30"/>
      <c r="Z738" s="30"/>
      <c r="AA738" s="30"/>
      <c r="AB738" s="30"/>
      <c r="AC738" s="27"/>
      <c r="AD738" s="31"/>
      <c r="AE738" s="32" t="str">
        <f t="shared" si="57"/>
        <v/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2736</v>
      </c>
      <c r="C739" s="25" t="s">
        <v>2737</v>
      </c>
      <c r="D739" s="23" t="s">
        <v>2237</v>
      </c>
      <c r="E739" s="43">
        <v>46126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43">
        <v>46193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30"/>
      <c r="X739" s="30"/>
      <c r="Y739" s="30"/>
      <c r="Z739" s="30"/>
      <c r="AA739" s="30"/>
      <c r="AB739" s="30"/>
      <c r="AC739" s="27"/>
      <c r="AD739" s="31"/>
      <c r="AE739" s="32" t="str">
        <f t="shared" si="57"/>
        <v/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2738</v>
      </c>
      <c r="C740" s="41" t="s">
        <v>2739</v>
      </c>
      <c r="D740" s="39" t="s">
        <v>2237</v>
      </c>
      <c r="E740" s="43">
        <v>46126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43">
        <v>46193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30"/>
      <c r="X740" s="30"/>
      <c r="Y740" s="30"/>
      <c r="Z740" s="30"/>
      <c r="AA740" s="30"/>
      <c r="AB740" s="30"/>
      <c r="AC740" s="27"/>
      <c r="AD740" s="31"/>
      <c r="AE740" s="32" t="str">
        <f t="shared" si="57"/>
        <v/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2740</v>
      </c>
      <c r="C741" s="25" t="s">
        <v>2741</v>
      </c>
      <c r="D741" s="23" t="s">
        <v>2237</v>
      </c>
      <c r="E741" s="43">
        <v>46126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43">
        <v>46193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30"/>
      <c r="X741" s="30"/>
      <c r="Y741" s="30"/>
      <c r="Z741" s="30"/>
      <c r="AA741" s="30"/>
      <c r="AB741" s="30"/>
      <c r="AC741" s="27"/>
      <c r="AD741" s="31"/>
      <c r="AE741" s="32" t="str">
        <f t="shared" si="57"/>
        <v/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2742</v>
      </c>
      <c r="C742" s="41" t="s">
        <v>2743</v>
      </c>
      <c r="D742" s="39" t="s">
        <v>2237</v>
      </c>
      <c r="E742" s="43">
        <v>46126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43">
        <v>46193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30"/>
      <c r="X742" s="30"/>
      <c r="Y742" s="30"/>
      <c r="Z742" s="30"/>
      <c r="AA742" s="30"/>
      <c r="AB742" s="30"/>
      <c r="AC742" s="27"/>
      <c r="AD742" s="31"/>
      <c r="AE742" s="32" t="str">
        <f t="shared" si="57"/>
        <v/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2744</v>
      </c>
      <c r="C743" s="25" t="s">
        <v>2745</v>
      </c>
      <c r="D743" s="23" t="s">
        <v>2237</v>
      </c>
      <c r="E743" s="43">
        <v>46126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43">
        <v>46193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30"/>
      <c r="X743" s="30"/>
      <c r="Y743" s="30"/>
      <c r="Z743" s="30"/>
      <c r="AA743" s="30"/>
      <c r="AB743" s="30"/>
      <c r="AC743" s="27"/>
      <c r="AD743" s="31"/>
      <c r="AE743" s="32" t="str">
        <f t="shared" si="57"/>
        <v/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2746</v>
      </c>
      <c r="C744" s="41" t="s">
        <v>2747</v>
      </c>
      <c r="D744" s="39" t="s">
        <v>2237</v>
      </c>
      <c r="E744" s="43">
        <v>46126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43">
        <v>46193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30"/>
      <c r="X744" s="30"/>
      <c r="Y744" s="30"/>
      <c r="Z744" s="30"/>
      <c r="AA744" s="30"/>
      <c r="AB744" s="30"/>
      <c r="AC744" s="27"/>
      <c r="AD744" s="31"/>
      <c r="AE744" s="32" t="str">
        <f t="shared" si="57"/>
        <v/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2748</v>
      </c>
      <c r="C745" s="25" t="s">
        <v>2749</v>
      </c>
      <c r="D745" s="23" t="s">
        <v>2237</v>
      </c>
      <c r="E745" s="43">
        <v>46126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43">
        <v>46193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30"/>
      <c r="X745" s="30"/>
      <c r="Y745" s="30"/>
      <c r="Z745" s="30"/>
      <c r="AA745" s="30"/>
      <c r="AB745" s="30"/>
      <c r="AC745" s="27"/>
      <c r="AD745" s="31"/>
      <c r="AE745" s="32" t="str">
        <f t="shared" si="57"/>
        <v/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2750</v>
      </c>
      <c r="C746" s="41" t="s">
        <v>2751</v>
      </c>
      <c r="D746" s="39" t="s">
        <v>2237</v>
      </c>
      <c r="E746" s="43">
        <v>46126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43">
        <v>46193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30"/>
      <c r="X746" s="30"/>
      <c r="Y746" s="30"/>
      <c r="Z746" s="30"/>
      <c r="AA746" s="30"/>
      <c r="AB746" s="30"/>
      <c r="AC746" s="27"/>
      <c r="AD746" s="31"/>
      <c r="AE746" s="32" t="str">
        <f t="shared" si="57"/>
        <v/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2752</v>
      </c>
      <c r="C747" s="25" t="s">
        <v>2753</v>
      </c>
      <c r="D747" s="23" t="s">
        <v>2237</v>
      </c>
      <c r="E747" s="43">
        <v>46126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43">
        <v>46193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30"/>
      <c r="X747" s="30"/>
      <c r="Y747" s="30"/>
      <c r="Z747" s="30"/>
      <c r="AA747" s="30"/>
      <c r="AB747" s="30"/>
      <c r="AC747" s="27"/>
      <c r="AD747" s="31"/>
      <c r="AE747" s="32" t="str">
        <f t="shared" si="57"/>
        <v/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2754</v>
      </c>
      <c r="C748" s="41" t="s">
        <v>2755</v>
      </c>
      <c r="D748" s="39" t="s">
        <v>2237</v>
      </c>
      <c r="E748" s="43">
        <v>46126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43">
        <v>46193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30"/>
      <c r="X748" s="30"/>
      <c r="Y748" s="30"/>
      <c r="Z748" s="30"/>
      <c r="AA748" s="30"/>
      <c r="AB748" s="30"/>
      <c r="AC748" s="27"/>
      <c r="AD748" s="31"/>
      <c r="AE748" s="32" t="str">
        <f t="shared" si="57"/>
        <v/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2756</v>
      </c>
      <c r="C749" s="25" t="s">
        <v>2757</v>
      </c>
      <c r="D749" s="23" t="s">
        <v>2237</v>
      </c>
      <c r="E749" s="43">
        <v>46126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43">
        <v>46193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30"/>
      <c r="X749" s="30"/>
      <c r="Y749" s="30"/>
      <c r="Z749" s="30"/>
      <c r="AA749" s="30"/>
      <c r="AB749" s="30"/>
      <c r="AC749" s="27"/>
      <c r="AD749" s="31"/>
      <c r="AE749" s="32" t="str">
        <f t="shared" si="57"/>
        <v/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2758</v>
      </c>
      <c r="C750" s="41" t="s">
        <v>2759</v>
      </c>
      <c r="D750" s="39" t="s">
        <v>2237</v>
      </c>
      <c r="E750" s="43">
        <v>46126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43">
        <v>46193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30"/>
      <c r="X750" s="30"/>
      <c r="Y750" s="30"/>
      <c r="Z750" s="30"/>
      <c r="AA750" s="30"/>
      <c r="AB750" s="30"/>
      <c r="AC750" s="27"/>
      <c r="AD750" s="31"/>
      <c r="AE750" s="32" t="str">
        <f t="shared" si="57"/>
        <v/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2760</v>
      </c>
      <c r="C751" s="25" t="s">
        <v>2761</v>
      </c>
      <c r="D751" s="23" t="s">
        <v>2237</v>
      </c>
      <c r="E751" s="43">
        <v>46126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43">
        <v>46193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30"/>
      <c r="X751" s="30"/>
      <c r="Y751" s="30"/>
      <c r="Z751" s="30"/>
      <c r="AA751" s="30"/>
      <c r="AB751" s="30"/>
      <c r="AC751" s="27"/>
      <c r="AD751" s="31"/>
      <c r="AE751" s="32" t="str">
        <f t="shared" si="57"/>
        <v/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2762</v>
      </c>
      <c r="C752" s="41" t="s">
        <v>2763</v>
      </c>
      <c r="D752" s="39" t="s">
        <v>2237</v>
      </c>
      <c r="E752" s="43">
        <v>46126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43">
        <v>46193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30"/>
      <c r="X752" s="30"/>
      <c r="Y752" s="30"/>
      <c r="Z752" s="30"/>
      <c r="AA752" s="30"/>
      <c r="AB752" s="30"/>
      <c r="AC752" s="27"/>
      <c r="AD752" s="31"/>
      <c r="AE752" s="32" t="str">
        <f t="shared" si="57"/>
        <v/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2764</v>
      </c>
      <c r="C753" s="25" t="s">
        <v>2765</v>
      </c>
      <c r="D753" s="23" t="s">
        <v>2237</v>
      </c>
      <c r="E753" s="43">
        <v>46126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43">
        <v>46193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30"/>
      <c r="X753" s="30"/>
      <c r="Y753" s="30"/>
      <c r="Z753" s="30"/>
      <c r="AA753" s="30"/>
      <c r="AB753" s="30"/>
      <c r="AC753" s="27"/>
      <c r="AD753" s="31"/>
      <c r="AE753" s="32" t="str">
        <f t="shared" si="57"/>
        <v/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2766</v>
      </c>
      <c r="C754" s="41" t="s">
        <v>2767</v>
      </c>
      <c r="D754" s="39" t="s">
        <v>2237</v>
      </c>
      <c r="E754" s="43">
        <v>46126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43">
        <v>46193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30"/>
      <c r="X754" s="30"/>
      <c r="Y754" s="30"/>
      <c r="Z754" s="30"/>
      <c r="AA754" s="30"/>
      <c r="AB754" s="30"/>
      <c r="AC754" s="27"/>
      <c r="AD754" s="31"/>
      <c r="AE754" s="32" t="str">
        <f t="shared" si="57"/>
        <v/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2768</v>
      </c>
      <c r="C755" s="25" t="s">
        <v>2769</v>
      </c>
      <c r="D755" s="23" t="s">
        <v>2237</v>
      </c>
      <c r="E755" s="43">
        <v>46126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43">
        <v>46193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30"/>
      <c r="X755" s="30"/>
      <c r="Y755" s="30"/>
      <c r="Z755" s="30"/>
      <c r="AA755" s="30"/>
      <c r="AB755" s="30"/>
      <c r="AC755" s="27"/>
      <c r="AD755" s="31"/>
      <c r="AE755" s="32" t="str">
        <f t="shared" si="57"/>
        <v/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2770</v>
      </c>
      <c r="C756" s="41" t="s">
        <v>2771</v>
      </c>
      <c r="D756" s="39" t="s">
        <v>2237</v>
      </c>
      <c r="E756" s="43">
        <v>46126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43">
        <v>46193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30"/>
      <c r="X756" s="30"/>
      <c r="Y756" s="30"/>
      <c r="Z756" s="30"/>
      <c r="AA756" s="30"/>
      <c r="AB756" s="30"/>
      <c r="AC756" s="27"/>
      <c r="AD756" s="31"/>
      <c r="AE756" s="32" t="str">
        <f t="shared" si="57"/>
        <v/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2772</v>
      </c>
      <c r="C757" s="25" t="s">
        <v>2773</v>
      </c>
      <c r="D757" s="23" t="s">
        <v>2237</v>
      </c>
      <c r="E757" s="43">
        <v>46126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43">
        <v>46193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30"/>
      <c r="X757" s="30"/>
      <c r="Y757" s="30"/>
      <c r="Z757" s="30"/>
      <c r="AA757" s="30"/>
      <c r="AB757" s="30"/>
      <c r="AC757" s="27"/>
      <c r="AD757" s="31"/>
      <c r="AE757" s="32" t="str">
        <f t="shared" si="57"/>
        <v/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2774</v>
      </c>
      <c r="C758" s="41" t="s">
        <v>2775</v>
      </c>
      <c r="D758" s="39" t="s">
        <v>2237</v>
      </c>
      <c r="E758" s="43">
        <v>46126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43">
        <v>46193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30"/>
      <c r="X758" s="30"/>
      <c r="Y758" s="30"/>
      <c r="Z758" s="30"/>
      <c r="AA758" s="30"/>
      <c r="AB758" s="30"/>
      <c r="AC758" s="27"/>
      <c r="AD758" s="31"/>
      <c r="AE758" s="32" t="str">
        <f t="shared" si="57"/>
        <v/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2776</v>
      </c>
      <c r="C759" s="25" t="s">
        <v>2777</v>
      </c>
      <c r="D759" s="23" t="s">
        <v>2237</v>
      </c>
      <c r="E759" s="43">
        <v>46126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43">
        <v>46193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30"/>
      <c r="X759" s="30"/>
      <c r="Y759" s="30"/>
      <c r="Z759" s="30"/>
      <c r="AA759" s="30"/>
      <c r="AB759" s="30"/>
      <c r="AC759" s="27"/>
      <c r="AD759" s="31"/>
      <c r="AE759" s="32" t="str">
        <f t="shared" si="57"/>
        <v/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2778</v>
      </c>
      <c r="C760" s="41" t="s">
        <v>2779</v>
      </c>
      <c r="D760" s="39" t="s">
        <v>2237</v>
      </c>
      <c r="E760" s="43">
        <v>46126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43">
        <v>46193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30"/>
      <c r="X760" s="30"/>
      <c r="Y760" s="30"/>
      <c r="Z760" s="30"/>
      <c r="AA760" s="30"/>
      <c r="AB760" s="30"/>
      <c r="AC760" s="27"/>
      <c r="AD760" s="31"/>
      <c r="AE760" s="32" t="str">
        <f t="shared" si="57"/>
        <v/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2780</v>
      </c>
      <c r="C761" s="25" t="s">
        <v>2781</v>
      </c>
      <c r="D761" s="23" t="s">
        <v>2237</v>
      </c>
      <c r="E761" s="43">
        <v>46126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43">
        <v>46193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30"/>
      <c r="X761" s="30"/>
      <c r="Y761" s="30"/>
      <c r="Z761" s="30"/>
      <c r="AA761" s="30"/>
      <c r="AB761" s="30"/>
      <c r="AC761" s="27"/>
      <c r="AD761" s="31"/>
      <c r="AE761" s="32" t="str">
        <f t="shared" si="57"/>
        <v/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2782</v>
      </c>
      <c r="C762" s="41" t="s">
        <v>2783</v>
      </c>
      <c r="D762" s="39" t="s">
        <v>2237</v>
      </c>
      <c r="E762" s="43">
        <v>46126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43">
        <v>46193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30"/>
      <c r="X762" s="30"/>
      <c r="Y762" s="30"/>
      <c r="Z762" s="30"/>
      <c r="AA762" s="30"/>
      <c r="AB762" s="30"/>
      <c r="AC762" s="27"/>
      <c r="AD762" s="31"/>
      <c r="AE762" s="32" t="str">
        <f t="shared" si="57"/>
        <v/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2784</v>
      </c>
      <c r="C763" s="25" t="s">
        <v>2785</v>
      </c>
      <c r="D763" s="23" t="s">
        <v>2237</v>
      </c>
      <c r="E763" s="43">
        <v>46126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43">
        <v>46193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30"/>
      <c r="X763" s="30"/>
      <c r="Y763" s="30"/>
      <c r="Z763" s="30"/>
      <c r="AA763" s="30"/>
      <c r="AB763" s="30"/>
      <c r="AC763" s="27"/>
      <c r="AD763" s="31"/>
      <c r="AE763" s="32" t="str">
        <f t="shared" si="57"/>
        <v/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2786</v>
      </c>
      <c r="C764" s="41" t="s">
        <v>2787</v>
      </c>
      <c r="D764" s="39" t="s">
        <v>2237</v>
      </c>
      <c r="E764" s="43">
        <v>46126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43">
        <v>46193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30"/>
      <c r="X764" s="30"/>
      <c r="Y764" s="30"/>
      <c r="Z764" s="30"/>
      <c r="AA764" s="30"/>
      <c r="AB764" s="30"/>
      <c r="AC764" s="27"/>
      <c r="AD764" s="31"/>
      <c r="AE764" s="32" t="str">
        <f t="shared" si="57"/>
        <v/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2788</v>
      </c>
      <c r="C765" s="25" t="s">
        <v>2789</v>
      </c>
      <c r="D765" s="23" t="s">
        <v>2237</v>
      </c>
      <c r="E765" s="43">
        <v>46126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43">
        <v>46193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30"/>
      <c r="X765" s="30"/>
      <c r="Y765" s="30"/>
      <c r="Z765" s="30"/>
      <c r="AA765" s="30"/>
      <c r="AB765" s="30"/>
      <c r="AC765" s="27"/>
      <c r="AD765" s="31"/>
      <c r="AE765" s="32" t="str">
        <f t="shared" si="57"/>
        <v/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2790</v>
      </c>
      <c r="C766" s="41" t="s">
        <v>2791</v>
      </c>
      <c r="D766" s="39" t="s">
        <v>2237</v>
      </c>
      <c r="E766" s="43">
        <v>46126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43">
        <v>46193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30"/>
      <c r="X766" s="30"/>
      <c r="Y766" s="30"/>
      <c r="Z766" s="30"/>
      <c r="AA766" s="30"/>
      <c r="AB766" s="30"/>
      <c r="AC766" s="27"/>
      <c r="AD766" s="31"/>
      <c r="AE766" s="32" t="str">
        <f t="shared" si="57"/>
        <v/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2792</v>
      </c>
      <c r="C767" s="25" t="s">
        <v>2793</v>
      </c>
      <c r="D767" s="23" t="s">
        <v>2237</v>
      </c>
      <c r="E767" s="43">
        <v>46126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43">
        <v>46193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30"/>
      <c r="X767" s="30"/>
      <c r="Y767" s="30"/>
      <c r="Z767" s="30"/>
      <c r="AA767" s="30"/>
      <c r="AB767" s="30"/>
      <c r="AC767" s="27"/>
      <c r="AD767" s="31"/>
      <c r="AE767" s="32" t="str">
        <f t="shared" si="57"/>
        <v/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2794</v>
      </c>
      <c r="C768" s="41" t="s">
        <v>2795</v>
      </c>
      <c r="D768" s="39" t="s">
        <v>2237</v>
      </c>
      <c r="E768" s="43">
        <v>46126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43">
        <v>46193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30"/>
      <c r="X768" s="30"/>
      <c r="Y768" s="30"/>
      <c r="Z768" s="30"/>
      <c r="AA768" s="30"/>
      <c r="AB768" s="30"/>
      <c r="AC768" s="27"/>
      <c r="AD768" s="31"/>
      <c r="AE768" s="32" t="str">
        <f t="shared" si="57"/>
        <v/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2796</v>
      </c>
      <c r="C769" s="25" t="s">
        <v>2797</v>
      </c>
      <c r="D769" s="23" t="s">
        <v>2237</v>
      </c>
      <c r="E769" s="43">
        <v>46126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43">
        <v>46193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30"/>
      <c r="X769" s="30"/>
      <c r="Y769" s="30"/>
      <c r="Z769" s="30"/>
      <c r="AA769" s="30"/>
      <c r="AB769" s="30"/>
      <c r="AC769" s="27"/>
      <c r="AD769" s="31"/>
      <c r="AE769" s="32" t="str">
        <f t="shared" si="57"/>
        <v/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2798</v>
      </c>
      <c r="C770" s="41" t="s">
        <v>2799</v>
      </c>
      <c r="D770" s="39" t="s">
        <v>2237</v>
      </c>
      <c r="E770" s="43">
        <v>46126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43">
        <v>46193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30"/>
      <c r="X770" s="30"/>
      <c r="Y770" s="30"/>
      <c r="Z770" s="30"/>
      <c r="AA770" s="30"/>
      <c r="AB770" s="30"/>
      <c r="AC770" s="27"/>
      <c r="AD770" s="31"/>
      <c r="AE770" s="32" t="str">
        <f t="shared" si="57"/>
        <v/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2800</v>
      </c>
      <c r="C771" s="25" t="s">
        <v>2801</v>
      </c>
      <c r="D771" s="23" t="s">
        <v>2237</v>
      </c>
      <c r="E771" s="43">
        <v>46126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43">
        <v>46193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30"/>
      <c r="X771" s="30"/>
      <c r="Y771" s="30"/>
      <c r="Z771" s="30"/>
      <c r="AA771" s="30"/>
      <c r="AB771" s="30"/>
      <c r="AC771" s="27"/>
      <c r="AD771" s="31"/>
      <c r="AE771" s="32" t="str">
        <f t="shared" si="57"/>
        <v/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2802</v>
      </c>
      <c r="C772" s="41" t="s">
        <v>2803</v>
      </c>
      <c r="D772" s="39" t="s">
        <v>2237</v>
      </c>
      <c r="E772" s="43">
        <v>46126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43">
        <v>46193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30"/>
      <c r="X772" s="30"/>
      <c r="Y772" s="30"/>
      <c r="Z772" s="30"/>
      <c r="AA772" s="30"/>
      <c r="AB772" s="30"/>
      <c r="AC772" s="27"/>
      <c r="AD772" s="31"/>
      <c r="AE772" s="32" t="str">
        <f t="shared" si="57"/>
        <v/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2804</v>
      </c>
      <c r="C773" s="25" t="s">
        <v>2805</v>
      </c>
      <c r="D773" s="23" t="s">
        <v>2237</v>
      </c>
      <c r="E773" s="43">
        <v>46126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43">
        <v>46193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30"/>
      <c r="X773" s="30"/>
      <c r="Y773" s="30"/>
      <c r="Z773" s="30"/>
      <c r="AA773" s="30"/>
      <c r="AB773" s="30"/>
      <c r="AC773" s="27"/>
      <c r="AD773" s="31"/>
      <c r="AE773" s="32" t="str">
        <f t="shared" ref="AE773:AE836" si="62">IF(W773="","",IF(Z773="Yes","❌ Disc",IF(Y773="No","⚠ Missing",IF(AB773="Yes","✓ OK","⚠ Check"))))</f>
        <v/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2806</v>
      </c>
      <c r="C774" s="41" t="s">
        <v>2807</v>
      </c>
      <c r="D774" s="39" t="s">
        <v>2237</v>
      </c>
      <c r="E774" s="43">
        <v>46126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43">
        <v>46193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30"/>
      <c r="X774" s="30"/>
      <c r="Y774" s="30"/>
      <c r="Z774" s="30"/>
      <c r="AA774" s="30"/>
      <c r="AB774" s="30"/>
      <c r="AC774" s="27"/>
      <c r="AD774" s="31"/>
      <c r="AE774" s="32" t="str">
        <f t="shared" si="62"/>
        <v/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2808</v>
      </c>
      <c r="C775" s="25" t="s">
        <v>2809</v>
      </c>
      <c r="D775" s="23" t="s">
        <v>2237</v>
      </c>
      <c r="E775" s="43">
        <v>46126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43">
        <v>46193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30"/>
      <c r="X775" s="30"/>
      <c r="Y775" s="30"/>
      <c r="Z775" s="30"/>
      <c r="AA775" s="30"/>
      <c r="AB775" s="30"/>
      <c r="AC775" s="27"/>
      <c r="AD775" s="31"/>
      <c r="AE775" s="32" t="str">
        <f t="shared" si="62"/>
        <v/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2810</v>
      </c>
      <c r="C776" s="41" t="s">
        <v>2811</v>
      </c>
      <c r="D776" s="39" t="s">
        <v>2237</v>
      </c>
      <c r="E776" s="43">
        <v>46126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43">
        <v>46193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30"/>
      <c r="X776" s="30"/>
      <c r="Y776" s="30"/>
      <c r="Z776" s="30"/>
      <c r="AA776" s="30"/>
      <c r="AB776" s="30"/>
      <c r="AC776" s="27"/>
      <c r="AD776" s="31"/>
      <c r="AE776" s="32" t="str">
        <f t="shared" si="62"/>
        <v/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2812</v>
      </c>
      <c r="C777" s="25" t="s">
        <v>2813</v>
      </c>
      <c r="D777" s="23" t="s">
        <v>2237</v>
      </c>
      <c r="E777" s="43">
        <v>46126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43">
        <v>46193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30"/>
      <c r="X777" s="30"/>
      <c r="Y777" s="30"/>
      <c r="Z777" s="30"/>
      <c r="AA777" s="30"/>
      <c r="AB777" s="30"/>
      <c r="AC777" s="27"/>
      <c r="AD777" s="31"/>
      <c r="AE777" s="32" t="str">
        <f t="shared" si="62"/>
        <v/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2814</v>
      </c>
      <c r="C778" s="41" t="s">
        <v>2815</v>
      </c>
      <c r="D778" s="39" t="s">
        <v>2237</v>
      </c>
      <c r="E778" s="43">
        <v>46126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43">
        <v>46193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30"/>
      <c r="X778" s="30"/>
      <c r="Y778" s="30"/>
      <c r="Z778" s="30"/>
      <c r="AA778" s="30"/>
      <c r="AB778" s="30"/>
      <c r="AC778" s="27"/>
      <c r="AD778" s="31"/>
      <c r="AE778" s="32" t="str">
        <f t="shared" si="62"/>
        <v/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2816</v>
      </c>
      <c r="C779" s="25" t="s">
        <v>2817</v>
      </c>
      <c r="D779" s="23" t="s">
        <v>2237</v>
      </c>
      <c r="E779" s="43">
        <v>46126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43">
        <v>46193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30"/>
      <c r="X779" s="30"/>
      <c r="Y779" s="30"/>
      <c r="Z779" s="30"/>
      <c r="AA779" s="30"/>
      <c r="AB779" s="30"/>
      <c r="AC779" s="27"/>
      <c r="AD779" s="31"/>
      <c r="AE779" s="32" t="str">
        <f t="shared" si="62"/>
        <v/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2818</v>
      </c>
      <c r="C780" s="41" t="s">
        <v>2819</v>
      </c>
      <c r="D780" s="39" t="s">
        <v>2237</v>
      </c>
      <c r="E780" s="43">
        <v>46126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43">
        <v>46193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30"/>
      <c r="X780" s="30"/>
      <c r="Y780" s="30"/>
      <c r="Z780" s="30"/>
      <c r="AA780" s="30"/>
      <c r="AB780" s="30"/>
      <c r="AC780" s="27"/>
      <c r="AD780" s="31"/>
      <c r="AE780" s="32" t="str">
        <f t="shared" si="62"/>
        <v/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2820</v>
      </c>
      <c r="C781" s="25" t="s">
        <v>2821</v>
      </c>
      <c r="D781" s="23" t="s">
        <v>2237</v>
      </c>
      <c r="E781" s="43">
        <v>46126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43">
        <v>46193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30"/>
      <c r="X781" s="30"/>
      <c r="Y781" s="30"/>
      <c r="Z781" s="30"/>
      <c r="AA781" s="30"/>
      <c r="AB781" s="30"/>
      <c r="AC781" s="27"/>
      <c r="AD781" s="31"/>
      <c r="AE781" s="32" t="str">
        <f t="shared" si="62"/>
        <v/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2822</v>
      </c>
      <c r="C782" s="41" t="s">
        <v>2823</v>
      </c>
      <c r="D782" s="39" t="s">
        <v>2237</v>
      </c>
      <c r="E782" s="43">
        <v>46126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43">
        <v>46193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30"/>
      <c r="X782" s="30"/>
      <c r="Y782" s="30"/>
      <c r="Z782" s="30"/>
      <c r="AA782" s="30"/>
      <c r="AB782" s="30"/>
      <c r="AC782" s="27"/>
      <c r="AD782" s="31"/>
      <c r="AE782" s="32" t="str">
        <f t="shared" si="62"/>
        <v/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2824</v>
      </c>
      <c r="C783" s="25" t="s">
        <v>2825</v>
      </c>
      <c r="D783" s="23" t="s">
        <v>2237</v>
      </c>
      <c r="E783" s="43">
        <v>46126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43">
        <v>46193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30"/>
      <c r="X783" s="30"/>
      <c r="Y783" s="30"/>
      <c r="Z783" s="30"/>
      <c r="AA783" s="30"/>
      <c r="AB783" s="30"/>
      <c r="AC783" s="27"/>
      <c r="AD783" s="31"/>
      <c r="AE783" s="32" t="str">
        <f t="shared" si="62"/>
        <v/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2826</v>
      </c>
      <c r="C784" s="41" t="s">
        <v>2827</v>
      </c>
      <c r="D784" s="39" t="s">
        <v>2237</v>
      </c>
      <c r="E784" s="43">
        <v>46126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43">
        <v>46193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30"/>
      <c r="X784" s="30"/>
      <c r="Y784" s="30"/>
      <c r="Z784" s="30"/>
      <c r="AA784" s="30"/>
      <c r="AB784" s="30"/>
      <c r="AC784" s="27"/>
      <c r="AD784" s="31"/>
      <c r="AE784" s="32" t="str">
        <f t="shared" si="62"/>
        <v/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2828</v>
      </c>
      <c r="C785" s="25" t="s">
        <v>2829</v>
      </c>
      <c r="D785" s="23" t="s">
        <v>2237</v>
      </c>
      <c r="E785" s="43">
        <v>46126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43">
        <v>46193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30"/>
      <c r="X785" s="30"/>
      <c r="Y785" s="30"/>
      <c r="Z785" s="30"/>
      <c r="AA785" s="30"/>
      <c r="AB785" s="30"/>
      <c r="AC785" s="27"/>
      <c r="AD785" s="31"/>
      <c r="AE785" s="32" t="str">
        <f t="shared" si="62"/>
        <v/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2830</v>
      </c>
      <c r="C786" s="41" t="s">
        <v>2831</v>
      </c>
      <c r="D786" s="39" t="s">
        <v>2237</v>
      </c>
      <c r="E786" s="43">
        <v>46126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43">
        <v>46193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30"/>
      <c r="X786" s="30"/>
      <c r="Y786" s="30"/>
      <c r="Z786" s="30"/>
      <c r="AA786" s="30"/>
      <c r="AB786" s="30"/>
      <c r="AC786" s="27"/>
      <c r="AD786" s="31"/>
      <c r="AE786" s="32" t="str">
        <f t="shared" si="62"/>
        <v/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2832</v>
      </c>
      <c r="C787" s="25" t="s">
        <v>2833</v>
      </c>
      <c r="D787" s="23" t="s">
        <v>2237</v>
      </c>
      <c r="E787" s="43">
        <v>46126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43">
        <v>46193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30"/>
      <c r="X787" s="30"/>
      <c r="Y787" s="30"/>
      <c r="Z787" s="30"/>
      <c r="AA787" s="30"/>
      <c r="AB787" s="30"/>
      <c r="AC787" s="27"/>
      <c r="AD787" s="31"/>
      <c r="AE787" s="32" t="str">
        <f t="shared" si="62"/>
        <v/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2834</v>
      </c>
      <c r="C788" s="41" t="s">
        <v>2835</v>
      </c>
      <c r="D788" s="39" t="s">
        <v>2237</v>
      </c>
      <c r="E788" s="43">
        <v>46126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43">
        <v>46193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30"/>
      <c r="X788" s="30"/>
      <c r="Y788" s="30"/>
      <c r="Z788" s="30"/>
      <c r="AA788" s="30"/>
      <c r="AB788" s="30"/>
      <c r="AC788" s="27"/>
      <c r="AD788" s="31"/>
      <c r="AE788" s="32" t="str">
        <f t="shared" si="62"/>
        <v/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2836</v>
      </c>
      <c r="C789" s="25" t="s">
        <v>2837</v>
      </c>
      <c r="D789" s="23" t="s">
        <v>2237</v>
      </c>
      <c r="E789" s="43">
        <v>46126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43">
        <v>46193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30"/>
      <c r="X789" s="30"/>
      <c r="Y789" s="30"/>
      <c r="Z789" s="30"/>
      <c r="AA789" s="30"/>
      <c r="AB789" s="30"/>
      <c r="AC789" s="27"/>
      <c r="AD789" s="31"/>
      <c r="AE789" s="32" t="str">
        <f t="shared" si="62"/>
        <v/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2838</v>
      </c>
      <c r="C790" s="41" t="s">
        <v>2839</v>
      </c>
      <c r="D790" s="39" t="s">
        <v>2237</v>
      </c>
      <c r="E790" s="43">
        <v>46126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43">
        <v>46193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30"/>
      <c r="X790" s="30"/>
      <c r="Y790" s="30"/>
      <c r="Z790" s="30"/>
      <c r="AA790" s="30"/>
      <c r="AB790" s="30"/>
      <c r="AC790" s="27"/>
      <c r="AD790" s="31"/>
      <c r="AE790" s="32" t="str">
        <f t="shared" si="62"/>
        <v/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2840</v>
      </c>
      <c r="C791" s="25" t="s">
        <v>2841</v>
      </c>
      <c r="D791" s="23" t="s">
        <v>2237</v>
      </c>
      <c r="E791" s="43">
        <v>46126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43">
        <v>46193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30"/>
      <c r="X791" s="30"/>
      <c r="Y791" s="30"/>
      <c r="Z791" s="30"/>
      <c r="AA791" s="30"/>
      <c r="AB791" s="30"/>
      <c r="AC791" s="27"/>
      <c r="AD791" s="31"/>
      <c r="AE791" s="32" t="str">
        <f t="shared" si="62"/>
        <v/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2842</v>
      </c>
      <c r="C792" s="41" t="s">
        <v>2843</v>
      </c>
      <c r="D792" s="39" t="s">
        <v>2237</v>
      </c>
      <c r="E792" s="43">
        <v>46126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43">
        <v>46193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30"/>
      <c r="X792" s="30"/>
      <c r="Y792" s="30"/>
      <c r="Z792" s="30"/>
      <c r="AA792" s="30"/>
      <c r="AB792" s="30"/>
      <c r="AC792" s="27"/>
      <c r="AD792" s="31"/>
      <c r="AE792" s="32" t="str">
        <f t="shared" si="62"/>
        <v/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2844</v>
      </c>
      <c r="C793" s="25" t="s">
        <v>2845</v>
      </c>
      <c r="D793" s="23" t="s">
        <v>2237</v>
      </c>
      <c r="E793" s="43">
        <v>46126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43">
        <v>46193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30"/>
      <c r="X793" s="30"/>
      <c r="Y793" s="30"/>
      <c r="Z793" s="30"/>
      <c r="AA793" s="30"/>
      <c r="AB793" s="30"/>
      <c r="AC793" s="27"/>
      <c r="AD793" s="31"/>
      <c r="AE793" s="32" t="str">
        <f t="shared" si="62"/>
        <v/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2846</v>
      </c>
      <c r="C794" s="41" t="s">
        <v>2847</v>
      </c>
      <c r="D794" s="39" t="s">
        <v>2237</v>
      </c>
      <c r="E794" s="43">
        <v>46126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43">
        <v>46193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30"/>
      <c r="X794" s="30"/>
      <c r="Y794" s="30"/>
      <c r="Z794" s="30"/>
      <c r="AA794" s="30"/>
      <c r="AB794" s="30"/>
      <c r="AC794" s="27"/>
      <c r="AD794" s="31"/>
      <c r="AE794" s="32" t="str">
        <f t="shared" si="62"/>
        <v/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2848</v>
      </c>
      <c r="C795" s="25" t="s">
        <v>2849</v>
      </c>
      <c r="D795" s="23" t="s">
        <v>2237</v>
      </c>
      <c r="E795" s="43">
        <v>46126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43">
        <v>46193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30"/>
      <c r="X795" s="30"/>
      <c r="Y795" s="30"/>
      <c r="Z795" s="30"/>
      <c r="AA795" s="30"/>
      <c r="AB795" s="30"/>
      <c r="AC795" s="27"/>
      <c r="AD795" s="31"/>
      <c r="AE795" s="32" t="str">
        <f t="shared" si="62"/>
        <v/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2850</v>
      </c>
      <c r="C796" s="41" t="s">
        <v>2851</v>
      </c>
      <c r="D796" s="39" t="s">
        <v>2237</v>
      </c>
      <c r="E796" s="43">
        <v>46126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43">
        <v>46193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30"/>
      <c r="X796" s="30"/>
      <c r="Y796" s="30"/>
      <c r="Z796" s="30"/>
      <c r="AA796" s="30"/>
      <c r="AB796" s="30"/>
      <c r="AC796" s="27"/>
      <c r="AD796" s="31"/>
      <c r="AE796" s="32" t="str">
        <f t="shared" si="62"/>
        <v/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2852</v>
      </c>
      <c r="C797" s="25" t="s">
        <v>2853</v>
      </c>
      <c r="D797" s="23" t="s">
        <v>2237</v>
      </c>
      <c r="E797" s="43">
        <v>46126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43">
        <v>46193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30"/>
      <c r="X797" s="30"/>
      <c r="Y797" s="30"/>
      <c r="Z797" s="30"/>
      <c r="AA797" s="30"/>
      <c r="AB797" s="30"/>
      <c r="AC797" s="27"/>
      <c r="AD797" s="31"/>
      <c r="AE797" s="32" t="str">
        <f t="shared" si="62"/>
        <v/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2854</v>
      </c>
      <c r="C798" s="41" t="s">
        <v>2855</v>
      </c>
      <c r="D798" s="39" t="s">
        <v>2237</v>
      </c>
      <c r="E798" s="43">
        <v>46126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43">
        <v>46193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30"/>
      <c r="X798" s="30"/>
      <c r="Y798" s="30"/>
      <c r="Z798" s="30"/>
      <c r="AA798" s="30"/>
      <c r="AB798" s="30"/>
      <c r="AC798" s="27"/>
      <c r="AD798" s="31"/>
      <c r="AE798" s="32" t="str">
        <f t="shared" si="62"/>
        <v/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2856</v>
      </c>
      <c r="C799" s="25" t="s">
        <v>2857</v>
      </c>
      <c r="D799" s="23" t="s">
        <v>2237</v>
      </c>
      <c r="E799" s="43">
        <v>46126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43">
        <v>46193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30"/>
      <c r="X799" s="30"/>
      <c r="Y799" s="30"/>
      <c r="Z799" s="30"/>
      <c r="AA799" s="30"/>
      <c r="AB799" s="30"/>
      <c r="AC799" s="27"/>
      <c r="AD799" s="31"/>
      <c r="AE799" s="32" t="str">
        <f t="shared" si="62"/>
        <v/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2858</v>
      </c>
      <c r="C800" s="41" t="s">
        <v>2859</v>
      </c>
      <c r="D800" s="39" t="s">
        <v>2237</v>
      </c>
      <c r="E800" s="43">
        <v>46126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43">
        <v>46193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30"/>
      <c r="X800" s="30"/>
      <c r="Y800" s="30"/>
      <c r="Z800" s="30"/>
      <c r="AA800" s="30"/>
      <c r="AB800" s="30"/>
      <c r="AC800" s="27"/>
      <c r="AD800" s="31"/>
      <c r="AE800" s="32" t="str">
        <f t="shared" si="62"/>
        <v/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2860</v>
      </c>
      <c r="C801" s="25" t="s">
        <v>2861</v>
      </c>
      <c r="D801" s="23" t="s">
        <v>2237</v>
      </c>
      <c r="E801" s="43">
        <v>46126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43">
        <v>46193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30"/>
      <c r="X801" s="30"/>
      <c r="Y801" s="30"/>
      <c r="Z801" s="30"/>
      <c r="AA801" s="30"/>
      <c r="AB801" s="30"/>
      <c r="AC801" s="27"/>
      <c r="AD801" s="31"/>
      <c r="AE801" s="32" t="str">
        <f t="shared" si="62"/>
        <v/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2862</v>
      </c>
      <c r="C802" s="41" t="s">
        <v>2863</v>
      </c>
      <c r="D802" s="39" t="s">
        <v>2237</v>
      </c>
      <c r="E802" s="43">
        <v>46126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43">
        <v>46193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30"/>
      <c r="X802" s="30"/>
      <c r="Y802" s="30"/>
      <c r="Z802" s="30"/>
      <c r="AA802" s="30"/>
      <c r="AB802" s="30"/>
      <c r="AC802" s="27"/>
      <c r="AD802" s="31"/>
      <c r="AE802" s="32" t="str">
        <f t="shared" si="62"/>
        <v/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2864</v>
      </c>
      <c r="C803" s="25" t="s">
        <v>2865</v>
      </c>
      <c r="D803" s="23" t="s">
        <v>2237</v>
      </c>
      <c r="E803" s="43">
        <v>46126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43">
        <v>46193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30"/>
      <c r="X803" s="30"/>
      <c r="Y803" s="30"/>
      <c r="Z803" s="30"/>
      <c r="AA803" s="30"/>
      <c r="AB803" s="30"/>
      <c r="AC803" s="27"/>
      <c r="AD803" s="31"/>
      <c r="AE803" s="32" t="str">
        <f t="shared" si="62"/>
        <v/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2866</v>
      </c>
      <c r="C804" s="41" t="s">
        <v>2867</v>
      </c>
      <c r="D804" s="39" t="s">
        <v>2237</v>
      </c>
      <c r="E804" s="43">
        <v>46126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43">
        <v>46193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30"/>
      <c r="X804" s="30"/>
      <c r="Y804" s="30"/>
      <c r="Z804" s="30"/>
      <c r="AA804" s="30"/>
      <c r="AB804" s="30"/>
      <c r="AC804" s="27"/>
      <c r="AD804" s="31"/>
      <c r="AE804" s="32" t="str">
        <f t="shared" si="62"/>
        <v/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2868</v>
      </c>
      <c r="C805" s="25" t="s">
        <v>2869</v>
      </c>
      <c r="D805" s="23" t="s">
        <v>2237</v>
      </c>
      <c r="E805" s="43">
        <v>46126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43">
        <v>46193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30"/>
      <c r="X805" s="30"/>
      <c r="Y805" s="30"/>
      <c r="Z805" s="30"/>
      <c r="AA805" s="30"/>
      <c r="AB805" s="30"/>
      <c r="AC805" s="27"/>
      <c r="AD805" s="31"/>
      <c r="AE805" s="32" t="str">
        <f t="shared" si="62"/>
        <v/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2870</v>
      </c>
      <c r="C806" s="41" t="s">
        <v>2871</v>
      </c>
      <c r="D806" s="39" t="s">
        <v>2237</v>
      </c>
      <c r="E806" s="43">
        <v>46126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43">
        <v>46193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30"/>
      <c r="X806" s="30"/>
      <c r="Y806" s="30"/>
      <c r="Z806" s="30"/>
      <c r="AA806" s="30"/>
      <c r="AB806" s="30"/>
      <c r="AC806" s="27"/>
      <c r="AD806" s="31"/>
      <c r="AE806" s="32" t="str">
        <f t="shared" si="62"/>
        <v/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2872</v>
      </c>
      <c r="C807" s="25" t="s">
        <v>2873</v>
      </c>
      <c r="D807" s="23" t="s">
        <v>2237</v>
      </c>
      <c r="E807" s="43">
        <v>46126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43">
        <v>46193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30"/>
      <c r="X807" s="30"/>
      <c r="Y807" s="30"/>
      <c r="Z807" s="30"/>
      <c r="AA807" s="30"/>
      <c r="AB807" s="30"/>
      <c r="AC807" s="27"/>
      <c r="AD807" s="31"/>
      <c r="AE807" s="32" t="str">
        <f t="shared" si="62"/>
        <v/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2874</v>
      </c>
      <c r="C808" s="41" t="s">
        <v>2875</v>
      </c>
      <c r="D808" s="39" t="s">
        <v>2237</v>
      </c>
      <c r="E808" s="43">
        <v>46126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43">
        <v>46193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30"/>
      <c r="X808" s="30"/>
      <c r="Y808" s="30"/>
      <c r="Z808" s="30"/>
      <c r="AA808" s="30"/>
      <c r="AB808" s="30"/>
      <c r="AC808" s="27"/>
      <c r="AD808" s="31"/>
      <c r="AE808" s="32" t="str">
        <f t="shared" si="62"/>
        <v/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2876</v>
      </c>
      <c r="C809" s="25" t="s">
        <v>2877</v>
      </c>
      <c r="D809" s="23" t="s">
        <v>2237</v>
      </c>
      <c r="E809" s="43">
        <v>46126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43">
        <v>46193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30"/>
      <c r="X809" s="30"/>
      <c r="Y809" s="30"/>
      <c r="Z809" s="30"/>
      <c r="AA809" s="30"/>
      <c r="AB809" s="30"/>
      <c r="AC809" s="27"/>
      <c r="AD809" s="31"/>
      <c r="AE809" s="32" t="str">
        <f t="shared" si="62"/>
        <v/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2878</v>
      </c>
      <c r="C810" s="41" t="s">
        <v>2879</v>
      </c>
      <c r="D810" s="39" t="s">
        <v>2237</v>
      </c>
      <c r="E810" s="43">
        <v>46126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43">
        <v>46193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30"/>
      <c r="X810" s="30"/>
      <c r="Y810" s="30"/>
      <c r="Z810" s="30"/>
      <c r="AA810" s="30"/>
      <c r="AB810" s="30"/>
      <c r="AC810" s="27"/>
      <c r="AD810" s="31"/>
      <c r="AE810" s="32" t="str">
        <f t="shared" si="62"/>
        <v/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2880</v>
      </c>
      <c r="C811" s="25" t="s">
        <v>2881</v>
      </c>
      <c r="D811" s="23" t="s">
        <v>2237</v>
      </c>
      <c r="E811" s="43">
        <v>46126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43">
        <v>46193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30"/>
      <c r="X811" s="30"/>
      <c r="Y811" s="30"/>
      <c r="Z811" s="30"/>
      <c r="AA811" s="30"/>
      <c r="AB811" s="30"/>
      <c r="AC811" s="27"/>
      <c r="AD811" s="31"/>
      <c r="AE811" s="32" t="str">
        <f t="shared" si="62"/>
        <v/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2882</v>
      </c>
      <c r="C812" s="41" t="s">
        <v>2883</v>
      </c>
      <c r="D812" s="39" t="s">
        <v>2237</v>
      </c>
      <c r="E812" s="43">
        <v>46126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43">
        <v>46193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30"/>
      <c r="X812" s="30"/>
      <c r="Y812" s="30"/>
      <c r="Z812" s="30"/>
      <c r="AA812" s="30"/>
      <c r="AB812" s="30"/>
      <c r="AC812" s="27"/>
      <c r="AD812" s="31"/>
      <c r="AE812" s="32" t="str">
        <f t="shared" si="62"/>
        <v/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2884</v>
      </c>
      <c r="C813" s="25" t="s">
        <v>2885</v>
      </c>
      <c r="D813" s="23" t="s">
        <v>2237</v>
      </c>
      <c r="E813" s="43">
        <v>46126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43">
        <v>46193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30"/>
      <c r="X813" s="30"/>
      <c r="Y813" s="30"/>
      <c r="Z813" s="30"/>
      <c r="AA813" s="30"/>
      <c r="AB813" s="30"/>
      <c r="AC813" s="27"/>
      <c r="AD813" s="31"/>
      <c r="AE813" s="32" t="str">
        <f t="shared" si="62"/>
        <v/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2886</v>
      </c>
      <c r="C814" s="41" t="s">
        <v>2887</v>
      </c>
      <c r="D814" s="39" t="s">
        <v>2237</v>
      </c>
      <c r="E814" s="43">
        <v>46126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43">
        <v>46193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30"/>
      <c r="X814" s="30"/>
      <c r="Y814" s="30"/>
      <c r="Z814" s="30"/>
      <c r="AA814" s="30"/>
      <c r="AB814" s="30"/>
      <c r="AC814" s="27"/>
      <c r="AD814" s="31"/>
      <c r="AE814" s="32" t="str">
        <f t="shared" si="62"/>
        <v/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2888</v>
      </c>
      <c r="C815" s="25" t="s">
        <v>2889</v>
      </c>
      <c r="D815" s="23" t="s">
        <v>2237</v>
      </c>
      <c r="E815" s="43">
        <v>46126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43">
        <v>46193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30"/>
      <c r="X815" s="30"/>
      <c r="Y815" s="30"/>
      <c r="Z815" s="30"/>
      <c r="AA815" s="30"/>
      <c r="AB815" s="30"/>
      <c r="AC815" s="27"/>
      <c r="AD815" s="31"/>
      <c r="AE815" s="32" t="str">
        <f t="shared" si="62"/>
        <v/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2890</v>
      </c>
      <c r="C816" s="41" t="s">
        <v>2891</v>
      </c>
      <c r="D816" s="39" t="s">
        <v>2237</v>
      </c>
      <c r="E816" s="43">
        <v>46126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43">
        <v>46193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30"/>
      <c r="X816" s="30"/>
      <c r="Y816" s="30"/>
      <c r="Z816" s="30"/>
      <c r="AA816" s="30"/>
      <c r="AB816" s="30"/>
      <c r="AC816" s="27"/>
      <c r="AD816" s="31"/>
      <c r="AE816" s="32" t="str">
        <f t="shared" si="62"/>
        <v/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2892</v>
      </c>
      <c r="C817" s="25" t="s">
        <v>2893</v>
      </c>
      <c r="D817" s="23" t="s">
        <v>2237</v>
      </c>
      <c r="E817" s="43">
        <v>46126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43">
        <v>46193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30"/>
      <c r="X817" s="30"/>
      <c r="Y817" s="30"/>
      <c r="Z817" s="30"/>
      <c r="AA817" s="30"/>
      <c r="AB817" s="30"/>
      <c r="AC817" s="27"/>
      <c r="AD817" s="31"/>
      <c r="AE817" s="32" t="str">
        <f t="shared" si="62"/>
        <v/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2894</v>
      </c>
      <c r="C818" s="41" t="s">
        <v>2895</v>
      </c>
      <c r="D818" s="39" t="s">
        <v>2237</v>
      </c>
      <c r="E818" s="43">
        <v>46126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43">
        <v>46193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30"/>
      <c r="X818" s="30"/>
      <c r="Y818" s="30"/>
      <c r="Z818" s="30"/>
      <c r="AA818" s="30"/>
      <c r="AB818" s="30"/>
      <c r="AC818" s="27"/>
      <c r="AD818" s="31"/>
      <c r="AE818" s="32" t="str">
        <f t="shared" si="62"/>
        <v/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2896</v>
      </c>
      <c r="C819" s="25" t="s">
        <v>2897</v>
      </c>
      <c r="D819" s="23" t="s">
        <v>2237</v>
      </c>
      <c r="E819" s="43">
        <v>46126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43">
        <v>46193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30"/>
      <c r="X819" s="30"/>
      <c r="Y819" s="30"/>
      <c r="Z819" s="30"/>
      <c r="AA819" s="30"/>
      <c r="AB819" s="30"/>
      <c r="AC819" s="27"/>
      <c r="AD819" s="31"/>
      <c r="AE819" s="32" t="str">
        <f t="shared" si="62"/>
        <v/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2898</v>
      </c>
      <c r="C820" s="41" t="s">
        <v>2899</v>
      </c>
      <c r="D820" s="39" t="s">
        <v>2237</v>
      </c>
      <c r="E820" s="43">
        <v>46126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43">
        <v>46193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30"/>
      <c r="X820" s="30"/>
      <c r="Y820" s="30"/>
      <c r="Z820" s="30"/>
      <c r="AA820" s="30"/>
      <c r="AB820" s="30"/>
      <c r="AC820" s="27"/>
      <c r="AD820" s="31"/>
      <c r="AE820" s="32" t="str">
        <f t="shared" si="62"/>
        <v/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2900</v>
      </c>
      <c r="C821" s="25" t="s">
        <v>2901</v>
      </c>
      <c r="D821" s="23" t="s">
        <v>2237</v>
      </c>
      <c r="E821" s="43">
        <v>46126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43">
        <v>46193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30"/>
      <c r="X821" s="30"/>
      <c r="Y821" s="30"/>
      <c r="Z821" s="30"/>
      <c r="AA821" s="30"/>
      <c r="AB821" s="30"/>
      <c r="AC821" s="27"/>
      <c r="AD821" s="31"/>
      <c r="AE821" s="32" t="str">
        <f t="shared" si="62"/>
        <v/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2902</v>
      </c>
      <c r="C822" s="41" t="s">
        <v>2903</v>
      </c>
      <c r="D822" s="39" t="s">
        <v>2237</v>
      </c>
      <c r="E822" s="43">
        <v>46126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43">
        <v>46193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30"/>
      <c r="X822" s="30"/>
      <c r="Y822" s="30"/>
      <c r="Z822" s="30"/>
      <c r="AA822" s="30"/>
      <c r="AB822" s="30"/>
      <c r="AC822" s="27"/>
      <c r="AD822" s="31"/>
      <c r="AE822" s="32" t="str">
        <f t="shared" si="62"/>
        <v/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2904</v>
      </c>
      <c r="C823" s="25" t="s">
        <v>2905</v>
      </c>
      <c r="D823" s="23" t="s">
        <v>2237</v>
      </c>
      <c r="E823" s="43">
        <v>46126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43">
        <v>46193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30"/>
      <c r="X823" s="30"/>
      <c r="Y823" s="30"/>
      <c r="Z823" s="30"/>
      <c r="AA823" s="30"/>
      <c r="AB823" s="30"/>
      <c r="AC823" s="27"/>
      <c r="AD823" s="31"/>
      <c r="AE823" s="32" t="str">
        <f t="shared" si="62"/>
        <v/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2906</v>
      </c>
      <c r="C824" s="41" t="s">
        <v>2907</v>
      </c>
      <c r="D824" s="39" t="s">
        <v>2237</v>
      </c>
      <c r="E824" s="43">
        <v>46126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43">
        <v>46193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30"/>
      <c r="X824" s="30"/>
      <c r="Y824" s="30"/>
      <c r="Z824" s="30"/>
      <c r="AA824" s="30"/>
      <c r="AB824" s="30"/>
      <c r="AC824" s="27"/>
      <c r="AD824" s="31"/>
      <c r="AE824" s="32" t="str">
        <f t="shared" si="62"/>
        <v/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2908</v>
      </c>
      <c r="C825" s="25" t="s">
        <v>2909</v>
      </c>
      <c r="D825" s="23" t="s">
        <v>2237</v>
      </c>
      <c r="E825" s="43">
        <v>46126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43">
        <v>46193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30"/>
      <c r="X825" s="30"/>
      <c r="Y825" s="30"/>
      <c r="Z825" s="30"/>
      <c r="AA825" s="30"/>
      <c r="AB825" s="30"/>
      <c r="AC825" s="27"/>
      <c r="AD825" s="31"/>
      <c r="AE825" s="32" t="str">
        <f t="shared" si="62"/>
        <v/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2910</v>
      </c>
      <c r="C826" s="41" t="s">
        <v>2911</v>
      </c>
      <c r="D826" s="39" t="s">
        <v>2237</v>
      </c>
      <c r="E826" s="43">
        <v>46126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43">
        <v>46193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30"/>
      <c r="X826" s="30"/>
      <c r="Y826" s="30"/>
      <c r="Z826" s="30"/>
      <c r="AA826" s="30"/>
      <c r="AB826" s="30"/>
      <c r="AC826" s="27"/>
      <c r="AD826" s="31"/>
      <c r="AE826" s="32" t="str">
        <f t="shared" si="62"/>
        <v/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2912</v>
      </c>
      <c r="C827" s="25" t="s">
        <v>2913</v>
      </c>
      <c r="D827" s="23" t="s">
        <v>2237</v>
      </c>
      <c r="E827" s="43">
        <v>46126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43">
        <v>46193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30"/>
      <c r="X827" s="30"/>
      <c r="Y827" s="30"/>
      <c r="Z827" s="30"/>
      <c r="AA827" s="30"/>
      <c r="AB827" s="30"/>
      <c r="AC827" s="27"/>
      <c r="AD827" s="31"/>
      <c r="AE827" s="32" t="str">
        <f t="shared" si="62"/>
        <v/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2914</v>
      </c>
      <c r="C828" s="41" t="s">
        <v>2915</v>
      </c>
      <c r="D828" s="39" t="s">
        <v>2237</v>
      </c>
      <c r="E828" s="43">
        <v>46126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43">
        <v>46193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30"/>
      <c r="X828" s="30"/>
      <c r="Y828" s="30"/>
      <c r="Z828" s="30"/>
      <c r="AA828" s="30"/>
      <c r="AB828" s="30"/>
      <c r="AC828" s="27"/>
      <c r="AD828" s="31"/>
      <c r="AE828" s="32" t="str">
        <f t="shared" si="62"/>
        <v/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2916</v>
      </c>
      <c r="C829" s="25" t="s">
        <v>2917</v>
      </c>
      <c r="D829" s="23" t="s">
        <v>2237</v>
      </c>
      <c r="E829" s="43">
        <v>46126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43">
        <v>46193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30"/>
      <c r="X829" s="30"/>
      <c r="Y829" s="30"/>
      <c r="Z829" s="30"/>
      <c r="AA829" s="30"/>
      <c r="AB829" s="30"/>
      <c r="AC829" s="27"/>
      <c r="AD829" s="31"/>
      <c r="AE829" s="32" t="str">
        <f t="shared" si="62"/>
        <v/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2918</v>
      </c>
      <c r="C830" s="41" t="s">
        <v>2919</v>
      </c>
      <c r="D830" s="39" t="s">
        <v>2237</v>
      </c>
      <c r="E830" s="43">
        <v>46126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43">
        <v>46193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30"/>
      <c r="X830" s="30"/>
      <c r="Y830" s="30"/>
      <c r="Z830" s="30"/>
      <c r="AA830" s="30"/>
      <c r="AB830" s="30"/>
      <c r="AC830" s="27"/>
      <c r="AD830" s="31"/>
      <c r="AE830" s="32" t="str">
        <f t="shared" si="62"/>
        <v/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2920</v>
      </c>
      <c r="C831" s="25" t="s">
        <v>2921</v>
      </c>
      <c r="D831" s="23" t="s">
        <v>2237</v>
      </c>
      <c r="E831" s="43">
        <v>46126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43">
        <v>46193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30"/>
      <c r="X831" s="30"/>
      <c r="Y831" s="30"/>
      <c r="Z831" s="30"/>
      <c r="AA831" s="30"/>
      <c r="AB831" s="30"/>
      <c r="AC831" s="27"/>
      <c r="AD831" s="31"/>
      <c r="AE831" s="32" t="str">
        <f t="shared" si="62"/>
        <v/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2922</v>
      </c>
      <c r="C832" s="41" t="s">
        <v>2923</v>
      </c>
      <c r="D832" s="39" t="s">
        <v>2237</v>
      </c>
      <c r="E832" s="43">
        <v>46126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43">
        <v>46193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30"/>
      <c r="X832" s="30"/>
      <c r="Y832" s="30"/>
      <c r="Z832" s="30"/>
      <c r="AA832" s="30"/>
      <c r="AB832" s="30"/>
      <c r="AC832" s="27"/>
      <c r="AD832" s="31"/>
      <c r="AE832" s="32" t="str">
        <f t="shared" si="62"/>
        <v/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2924</v>
      </c>
      <c r="C833" s="25" t="s">
        <v>2925</v>
      </c>
      <c r="D833" s="23" t="s">
        <v>2237</v>
      </c>
      <c r="E833" s="43">
        <v>46126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43">
        <v>46193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30"/>
      <c r="X833" s="30"/>
      <c r="Y833" s="30"/>
      <c r="Z833" s="30"/>
      <c r="AA833" s="30"/>
      <c r="AB833" s="30"/>
      <c r="AC833" s="27"/>
      <c r="AD833" s="31"/>
      <c r="AE833" s="32" t="str">
        <f t="shared" si="62"/>
        <v/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2926</v>
      </c>
      <c r="C834" s="41" t="s">
        <v>2927</v>
      </c>
      <c r="D834" s="39" t="s">
        <v>2237</v>
      </c>
      <c r="E834" s="43">
        <v>46126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43">
        <v>46193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30"/>
      <c r="X834" s="30"/>
      <c r="Y834" s="30"/>
      <c r="Z834" s="30"/>
      <c r="AA834" s="30"/>
      <c r="AB834" s="30"/>
      <c r="AC834" s="27"/>
      <c r="AD834" s="31"/>
      <c r="AE834" s="32" t="str">
        <f t="shared" si="62"/>
        <v/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2928</v>
      </c>
      <c r="C835" s="25" t="s">
        <v>2929</v>
      </c>
      <c r="D835" s="23" t="s">
        <v>2237</v>
      </c>
      <c r="E835" s="43">
        <v>46126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43">
        <v>46193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30"/>
      <c r="X835" s="30"/>
      <c r="Y835" s="30"/>
      <c r="Z835" s="30"/>
      <c r="AA835" s="30"/>
      <c r="AB835" s="30"/>
      <c r="AC835" s="27"/>
      <c r="AD835" s="31"/>
      <c r="AE835" s="32" t="str">
        <f t="shared" si="62"/>
        <v/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2930</v>
      </c>
      <c r="C836" s="41" t="s">
        <v>2931</v>
      </c>
      <c r="D836" s="39" t="s">
        <v>2237</v>
      </c>
      <c r="E836" s="43">
        <v>46126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43">
        <v>46193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30"/>
      <c r="X836" s="30"/>
      <c r="Y836" s="30"/>
      <c r="Z836" s="30"/>
      <c r="AA836" s="30"/>
      <c r="AB836" s="30"/>
      <c r="AC836" s="27"/>
      <c r="AD836" s="31"/>
      <c r="AE836" s="32" t="str">
        <f t="shared" si="62"/>
        <v/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2932</v>
      </c>
      <c r="C837" s="25" t="s">
        <v>2933</v>
      </c>
      <c r="D837" s="23" t="s">
        <v>2237</v>
      </c>
      <c r="E837" s="43">
        <v>46126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43">
        <v>46193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30"/>
      <c r="X837" s="30"/>
      <c r="Y837" s="30"/>
      <c r="Z837" s="30"/>
      <c r="AA837" s="30"/>
      <c r="AB837" s="30"/>
      <c r="AC837" s="27"/>
      <c r="AD837" s="31"/>
      <c r="AE837" s="32" t="str">
        <f t="shared" ref="AE837:AE900" si="67">IF(W837="","",IF(Z837="Yes","❌ Disc",IF(Y837="No","⚠ Missing",IF(AB837="Yes","✓ OK","⚠ Check"))))</f>
        <v/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2934</v>
      </c>
      <c r="C838" s="41" t="s">
        <v>2935</v>
      </c>
      <c r="D838" s="39" t="s">
        <v>2237</v>
      </c>
      <c r="E838" s="43">
        <v>46126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43">
        <v>46193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30"/>
      <c r="X838" s="30"/>
      <c r="Y838" s="30"/>
      <c r="Z838" s="30"/>
      <c r="AA838" s="30"/>
      <c r="AB838" s="30"/>
      <c r="AC838" s="27"/>
      <c r="AD838" s="31"/>
      <c r="AE838" s="32" t="str">
        <f t="shared" si="67"/>
        <v/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2936</v>
      </c>
      <c r="C839" s="25" t="s">
        <v>2937</v>
      </c>
      <c r="D839" s="23" t="s">
        <v>2237</v>
      </c>
      <c r="E839" s="43">
        <v>46126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43">
        <v>46193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30"/>
      <c r="X839" s="30"/>
      <c r="Y839" s="30"/>
      <c r="Z839" s="30"/>
      <c r="AA839" s="30"/>
      <c r="AB839" s="30"/>
      <c r="AC839" s="27"/>
      <c r="AD839" s="31"/>
      <c r="AE839" s="32" t="str">
        <f t="shared" si="67"/>
        <v/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2938</v>
      </c>
      <c r="C840" s="41" t="s">
        <v>2939</v>
      </c>
      <c r="D840" s="39" t="s">
        <v>2237</v>
      </c>
      <c r="E840" s="43">
        <v>46126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43">
        <v>46193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30"/>
      <c r="X840" s="30"/>
      <c r="Y840" s="30"/>
      <c r="Z840" s="30"/>
      <c r="AA840" s="30"/>
      <c r="AB840" s="30"/>
      <c r="AC840" s="27"/>
      <c r="AD840" s="31"/>
      <c r="AE840" s="32" t="str">
        <f t="shared" si="67"/>
        <v/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2940</v>
      </c>
      <c r="C841" s="25" t="s">
        <v>2941</v>
      </c>
      <c r="D841" s="23" t="s">
        <v>2237</v>
      </c>
      <c r="E841" s="43">
        <v>46126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43">
        <v>46193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30"/>
      <c r="X841" s="30"/>
      <c r="Y841" s="30"/>
      <c r="Z841" s="30"/>
      <c r="AA841" s="30"/>
      <c r="AB841" s="30"/>
      <c r="AC841" s="27"/>
      <c r="AD841" s="31"/>
      <c r="AE841" s="32" t="str">
        <f t="shared" si="67"/>
        <v/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2942</v>
      </c>
      <c r="C842" s="41" t="s">
        <v>2943</v>
      </c>
      <c r="D842" s="39" t="s">
        <v>2237</v>
      </c>
      <c r="E842" s="43">
        <v>46126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43">
        <v>46193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30"/>
      <c r="X842" s="30"/>
      <c r="Y842" s="30"/>
      <c r="Z842" s="30"/>
      <c r="AA842" s="30"/>
      <c r="AB842" s="30"/>
      <c r="AC842" s="27"/>
      <c r="AD842" s="31"/>
      <c r="AE842" s="32" t="str">
        <f t="shared" si="67"/>
        <v/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2944</v>
      </c>
      <c r="C843" s="25" t="s">
        <v>2945</v>
      </c>
      <c r="D843" s="23" t="s">
        <v>2237</v>
      </c>
      <c r="E843" s="43">
        <v>46126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43">
        <v>46193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30"/>
      <c r="X843" s="30"/>
      <c r="Y843" s="30"/>
      <c r="Z843" s="30"/>
      <c r="AA843" s="30"/>
      <c r="AB843" s="30"/>
      <c r="AC843" s="27"/>
      <c r="AD843" s="31"/>
      <c r="AE843" s="32" t="str">
        <f t="shared" si="67"/>
        <v/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2946</v>
      </c>
      <c r="C844" s="41" t="s">
        <v>2947</v>
      </c>
      <c r="D844" s="39" t="s">
        <v>2237</v>
      </c>
      <c r="E844" s="43">
        <v>46126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43">
        <v>46193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30"/>
      <c r="X844" s="30"/>
      <c r="Y844" s="30"/>
      <c r="Z844" s="30"/>
      <c r="AA844" s="30"/>
      <c r="AB844" s="30"/>
      <c r="AC844" s="27"/>
      <c r="AD844" s="31"/>
      <c r="AE844" s="32" t="str">
        <f t="shared" si="67"/>
        <v/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2948</v>
      </c>
      <c r="C845" s="25" t="s">
        <v>2949</v>
      </c>
      <c r="D845" s="23" t="s">
        <v>2237</v>
      </c>
      <c r="E845" s="43">
        <v>46126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43">
        <v>46193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30"/>
      <c r="X845" s="30"/>
      <c r="Y845" s="30"/>
      <c r="Z845" s="30"/>
      <c r="AA845" s="30"/>
      <c r="AB845" s="30"/>
      <c r="AC845" s="27"/>
      <c r="AD845" s="31"/>
      <c r="AE845" s="32" t="str">
        <f t="shared" si="67"/>
        <v/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2950</v>
      </c>
      <c r="C846" s="41" t="s">
        <v>2951</v>
      </c>
      <c r="D846" s="39" t="s">
        <v>2237</v>
      </c>
      <c r="E846" s="43">
        <v>46126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43">
        <v>46193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30"/>
      <c r="X846" s="30"/>
      <c r="Y846" s="30"/>
      <c r="Z846" s="30"/>
      <c r="AA846" s="30"/>
      <c r="AB846" s="30"/>
      <c r="AC846" s="27"/>
      <c r="AD846" s="31"/>
      <c r="AE846" s="32" t="str">
        <f t="shared" si="67"/>
        <v/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2952</v>
      </c>
      <c r="C847" s="25" t="s">
        <v>2953</v>
      </c>
      <c r="D847" s="23" t="s">
        <v>2237</v>
      </c>
      <c r="E847" s="43">
        <v>46126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43">
        <v>46193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30"/>
      <c r="X847" s="30"/>
      <c r="Y847" s="30"/>
      <c r="Z847" s="30"/>
      <c r="AA847" s="30"/>
      <c r="AB847" s="30"/>
      <c r="AC847" s="27"/>
      <c r="AD847" s="31"/>
      <c r="AE847" s="32" t="str">
        <f t="shared" si="67"/>
        <v/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2954</v>
      </c>
      <c r="C848" s="41" t="s">
        <v>2955</v>
      </c>
      <c r="D848" s="39" t="s">
        <v>2237</v>
      </c>
      <c r="E848" s="43">
        <v>46126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43">
        <v>46193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30"/>
      <c r="X848" s="30"/>
      <c r="Y848" s="30"/>
      <c r="Z848" s="30"/>
      <c r="AA848" s="30"/>
      <c r="AB848" s="30"/>
      <c r="AC848" s="27"/>
      <c r="AD848" s="31"/>
      <c r="AE848" s="32" t="str">
        <f t="shared" si="67"/>
        <v/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2956</v>
      </c>
      <c r="C849" s="25" t="s">
        <v>2957</v>
      </c>
      <c r="D849" s="23" t="s">
        <v>2237</v>
      </c>
      <c r="E849" s="43">
        <v>46126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43">
        <v>46193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30"/>
      <c r="X849" s="30"/>
      <c r="Y849" s="30"/>
      <c r="Z849" s="30"/>
      <c r="AA849" s="30"/>
      <c r="AB849" s="30"/>
      <c r="AC849" s="27"/>
      <c r="AD849" s="31"/>
      <c r="AE849" s="32" t="str">
        <f t="shared" si="67"/>
        <v/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2958</v>
      </c>
      <c r="C850" s="41" t="s">
        <v>2959</v>
      </c>
      <c r="D850" s="39" t="s">
        <v>2237</v>
      </c>
      <c r="E850" s="43">
        <v>46126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43">
        <v>46193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30"/>
      <c r="X850" s="30"/>
      <c r="Y850" s="30"/>
      <c r="Z850" s="30"/>
      <c r="AA850" s="30"/>
      <c r="AB850" s="30"/>
      <c r="AC850" s="27"/>
      <c r="AD850" s="31"/>
      <c r="AE850" s="32" t="str">
        <f t="shared" si="67"/>
        <v/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2960</v>
      </c>
      <c r="C851" s="25" t="s">
        <v>2961</v>
      </c>
      <c r="D851" s="23" t="s">
        <v>2237</v>
      </c>
      <c r="E851" s="43">
        <v>46126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43">
        <v>46193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30"/>
      <c r="X851" s="30"/>
      <c r="Y851" s="30"/>
      <c r="Z851" s="30"/>
      <c r="AA851" s="30"/>
      <c r="AB851" s="30"/>
      <c r="AC851" s="27"/>
      <c r="AD851" s="31"/>
      <c r="AE851" s="32" t="str">
        <f t="shared" si="67"/>
        <v/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2962</v>
      </c>
      <c r="C852" s="41" t="s">
        <v>2963</v>
      </c>
      <c r="D852" s="39" t="s">
        <v>2237</v>
      </c>
      <c r="E852" s="43">
        <v>46126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43">
        <v>46193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30"/>
      <c r="X852" s="30"/>
      <c r="Y852" s="30"/>
      <c r="Z852" s="30"/>
      <c r="AA852" s="30"/>
      <c r="AB852" s="30"/>
      <c r="AC852" s="27"/>
      <c r="AD852" s="31"/>
      <c r="AE852" s="32" t="str">
        <f t="shared" si="67"/>
        <v/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2964</v>
      </c>
      <c r="C853" s="25" t="s">
        <v>2965</v>
      </c>
      <c r="D853" s="23" t="s">
        <v>2237</v>
      </c>
      <c r="E853" s="43">
        <v>46126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43">
        <v>46193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30"/>
      <c r="X853" s="30"/>
      <c r="Y853" s="30"/>
      <c r="Z853" s="30"/>
      <c r="AA853" s="30"/>
      <c r="AB853" s="30"/>
      <c r="AC853" s="27"/>
      <c r="AD853" s="31"/>
      <c r="AE853" s="32" t="str">
        <f t="shared" si="67"/>
        <v/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2966</v>
      </c>
      <c r="C854" s="41" t="s">
        <v>2967</v>
      </c>
      <c r="D854" s="39" t="s">
        <v>2237</v>
      </c>
      <c r="E854" s="43">
        <v>46126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43">
        <v>46193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30"/>
      <c r="X854" s="30"/>
      <c r="Y854" s="30"/>
      <c r="Z854" s="30"/>
      <c r="AA854" s="30"/>
      <c r="AB854" s="30"/>
      <c r="AC854" s="27"/>
      <c r="AD854" s="31"/>
      <c r="AE854" s="32" t="str">
        <f t="shared" si="67"/>
        <v/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2968</v>
      </c>
      <c r="C855" s="25" t="s">
        <v>2969</v>
      </c>
      <c r="D855" s="23" t="s">
        <v>2237</v>
      </c>
      <c r="E855" s="43">
        <v>46126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43">
        <v>46193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30"/>
      <c r="X855" s="30"/>
      <c r="Y855" s="30"/>
      <c r="Z855" s="30"/>
      <c r="AA855" s="30"/>
      <c r="AB855" s="30"/>
      <c r="AC855" s="27"/>
      <c r="AD855" s="31"/>
      <c r="AE855" s="32" t="str">
        <f t="shared" si="67"/>
        <v/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2970</v>
      </c>
      <c r="C856" s="41" t="s">
        <v>2971</v>
      </c>
      <c r="D856" s="39" t="s">
        <v>2237</v>
      </c>
      <c r="E856" s="43">
        <v>46126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43">
        <v>46193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30"/>
      <c r="X856" s="30"/>
      <c r="Y856" s="30"/>
      <c r="Z856" s="30"/>
      <c r="AA856" s="30"/>
      <c r="AB856" s="30"/>
      <c r="AC856" s="27"/>
      <c r="AD856" s="31"/>
      <c r="AE856" s="32" t="str">
        <f t="shared" si="67"/>
        <v/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2972</v>
      </c>
      <c r="C857" s="25" t="s">
        <v>2973</v>
      </c>
      <c r="D857" s="23" t="s">
        <v>2237</v>
      </c>
      <c r="E857" s="43">
        <v>46126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43">
        <v>46193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30"/>
      <c r="X857" s="30"/>
      <c r="Y857" s="30"/>
      <c r="Z857" s="30"/>
      <c r="AA857" s="30"/>
      <c r="AB857" s="30"/>
      <c r="AC857" s="27"/>
      <c r="AD857" s="31"/>
      <c r="AE857" s="32" t="str">
        <f t="shared" si="67"/>
        <v/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2974</v>
      </c>
      <c r="C858" s="41" t="s">
        <v>2975</v>
      </c>
      <c r="D858" s="39" t="s">
        <v>2237</v>
      </c>
      <c r="E858" s="43">
        <v>46126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43">
        <v>46193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30"/>
      <c r="X858" s="30"/>
      <c r="Y858" s="30"/>
      <c r="Z858" s="30"/>
      <c r="AA858" s="30"/>
      <c r="AB858" s="30"/>
      <c r="AC858" s="27"/>
      <c r="AD858" s="31"/>
      <c r="AE858" s="32" t="str">
        <f t="shared" si="67"/>
        <v/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2976</v>
      </c>
      <c r="C859" s="25" t="s">
        <v>2977</v>
      </c>
      <c r="D859" s="23" t="s">
        <v>2237</v>
      </c>
      <c r="E859" s="43">
        <v>46126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43">
        <v>46193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30"/>
      <c r="X859" s="30"/>
      <c r="Y859" s="30"/>
      <c r="Z859" s="30"/>
      <c r="AA859" s="30"/>
      <c r="AB859" s="30"/>
      <c r="AC859" s="27"/>
      <c r="AD859" s="31"/>
      <c r="AE859" s="32" t="str">
        <f t="shared" si="67"/>
        <v/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2978</v>
      </c>
      <c r="C860" s="41" t="s">
        <v>2979</v>
      </c>
      <c r="D860" s="39" t="s">
        <v>2237</v>
      </c>
      <c r="E860" s="43">
        <v>46126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43">
        <v>46193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30"/>
      <c r="X860" s="30"/>
      <c r="Y860" s="30"/>
      <c r="Z860" s="30"/>
      <c r="AA860" s="30"/>
      <c r="AB860" s="30"/>
      <c r="AC860" s="27"/>
      <c r="AD860" s="31"/>
      <c r="AE860" s="32" t="str">
        <f t="shared" si="67"/>
        <v/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2980</v>
      </c>
      <c r="C861" s="25" t="s">
        <v>2981</v>
      </c>
      <c r="D861" s="23" t="s">
        <v>2237</v>
      </c>
      <c r="E861" s="43">
        <v>46126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43">
        <v>46193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30"/>
      <c r="X861" s="30"/>
      <c r="Y861" s="30"/>
      <c r="Z861" s="30"/>
      <c r="AA861" s="30"/>
      <c r="AB861" s="30"/>
      <c r="AC861" s="27"/>
      <c r="AD861" s="31"/>
      <c r="AE861" s="32" t="str">
        <f t="shared" si="67"/>
        <v/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2982</v>
      </c>
      <c r="C862" s="41" t="s">
        <v>2983</v>
      </c>
      <c r="D862" s="39" t="s">
        <v>2237</v>
      </c>
      <c r="E862" s="43">
        <v>46126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43">
        <v>46193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30"/>
      <c r="X862" s="30"/>
      <c r="Y862" s="30"/>
      <c r="Z862" s="30"/>
      <c r="AA862" s="30"/>
      <c r="AB862" s="30"/>
      <c r="AC862" s="27"/>
      <c r="AD862" s="31"/>
      <c r="AE862" s="32" t="str">
        <f t="shared" si="67"/>
        <v/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2984</v>
      </c>
      <c r="C863" s="25" t="s">
        <v>2985</v>
      </c>
      <c r="D863" s="23" t="s">
        <v>2237</v>
      </c>
      <c r="E863" s="43">
        <v>46126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43">
        <v>46193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30"/>
      <c r="X863" s="30"/>
      <c r="Y863" s="30"/>
      <c r="Z863" s="30"/>
      <c r="AA863" s="30"/>
      <c r="AB863" s="30"/>
      <c r="AC863" s="27"/>
      <c r="AD863" s="31"/>
      <c r="AE863" s="32" t="str">
        <f t="shared" si="67"/>
        <v/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2986</v>
      </c>
      <c r="C864" s="41" t="s">
        <v>2987</v>
      </c>
      <c r="D864" s="39" t="s">
        <v>2237</v>
      </c>
      <c r="E864" s="43">
        <v>46126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43">
        <v>46193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30"/>
      <c r="X864" s="30"/>
      <c r="Y864" s="30"/>
      <c r="Z864" s="30"/>
      <c r="AA864" s="30"/>
      <c r="AB864" s="30"/>
      <c r="AC864" s="27"/>
      <c r="AD864" s="31"/>
      <c r="AE864" s="32" t="str">
        <f t="shared" si="67"/>
        <v/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2988</v>
      </c>
      <c r="C865" s="25" t="s">
        <v>2989</v>
      </c>
      <c r="D865" s="23" t="s">
        <v>2237</v>
      </c>
      <c r="E865" s="43">
        <v>46126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43">
        <v>46193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30"/>
      <c r="X865" s="30"/>
      <c r="Y865" s="30"/>
      <c r="Z865" s="30"/>
      <c r="AA865" s="30"/>
      <c r="AB865" s="30"/>
      <c r="AC865" s="27"/>
      <c r="AD865" s="31"/>
      <c r="AE865" s="32" t="str">
        <f t="shared" si="67"/>
        <v/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2990</v>
      </c>
      <c r="C866" s="41" t="s">
        <v>2991</v>
      </c>
      <c r="D866" s="39" t="s">
        <v>2237</v>
      </c>
      <c r="E866" s="43">
        <v>46126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43">
        <v>46193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30"/>
      <c r="X866" s="30"/>
      <c r="Y866" s="30"/>
      <c r="Z866" s="30"/>
      <c r="AA866" s="30"/>
      <c r="AB866" s="30"/>
      <c r="AC866" s="27"/>
      <c r="AD866" s="31"/>
      <c r="AE866" s="32" t="str">
        <f t="shared" si="67"/>
        <v/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2992</v>
      </c>
      <c r="C867" s="25" t="s">
        <v>2993</v>
      </c>
      <c r="D867" s="23" t="s">
        <v>2237</v>
      </c>
      <c r="E867" s="43">
        <v>46126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43">
        <v>46193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30"/>
      <c r="X867" s="30"/>
      <c r="Y867" s="30"/>
      <c r="Z867" s="30"/>
      <c r="AA867" s="30"/>
      <c r="AB867" s="30"/>
      <c r="AC867" s="27"/>
      <c r="AD867" s="31"/>
      <c r="AE867" s="32" t="str">
        <f t="shared" si="67"/>
        <v/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2994</v>
      </c>
      <c r="C868" s="41" t="s">
        <v>2995</v>
      </c>
      <c r="D868" s="39" t="s">
        <v>2237</v>
      </c>
      <c r="E868" s="43">
        <v>46126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43">
        <v>46193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30"/>
      <c r="X868" s="30"/>
      <c r="Y868" s="30"/>
      <c r="Z868" s="30"/>
      <c r="AA868" s="30"/>
      <c r="AB868" s="30"/>
      <c r="AC868" s="27"/>
      <c r="AD868" s="31"/>
      <c r="AE868" s="32" t="str">
        <f t="shared" si="67"/>
        <v/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2996</v>
      </c>
      <c r="C869" s="25" t="s">
        <v>2997</v>
      </c>
      <c r="D869" s="23" t="s">
        <v>2237</v>
      </c>
      <c r="E869" s="43">
        <v>46126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43">
        <v>46193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30"/>
      <c r="X869" s="30"/>
      <c r="Y869" s="30"/>
      <c r="Z869" s="30"/>
      <c r="AA869" s="30"/>
      <c r="AB869" s="30"/>
      <c r="AC869" s="27"/>
      <c r="AD869" s="31"/>
      <c r="AE869" s="32" t="str">
        <f t="shared" si="67"/>
        <v/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2998</v>
      </c>
      <c r="C870" s="41" t="s">
        <v>2999</v>
      </c>
      <c r="D870" s="39" t="s">
        <v>2237</v>
      </c>
      <c r="E870" s="43">
        <v>46126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43">
        <v>46193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30"/>
      <c r="X870" s="30"/>
      <c r="Y870" s="30"/>
      <c r="Z870" s="30"/>
      <c r="AA870" s="30"/>
      <c r="AB870" s="30"/>
      <c r="AC870" s="27"/>
      <c r="AD870" s="31"/>
      <c r="AE870" s="32" t="str">
        <f t="shared" si="67"/>
        <v/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3000</v>
      </c>
      <c r="C871" s="25" t="s">
        <v>3001</v>
      </c>
      <c r="D871" s="23" t="s">
        <v>2237</v>
      </c>
      <c r="E871" s="43">
        <v>46126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43">
        <v>46193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30"/>
      <c r="X871" s="30"/>
      <c r="Y871" s="30"/>
      <c r="Z871" s="30"/>
      <c r="AA871" s="30"/>
      <c r="AB871" s="30"/>
      <c r="AC871" s="27"/>
      <c r="AD871" s="31"/>
      <c r="AE871" s="32" t="str">
        <f t="shared" si="67"/>
        <v/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3002</v>
      </c>
      <c r="C872" s="41" t="s">
        <v>3003</v>
      </c>
      <c r="D872" s="39" t="s">
        <v>2237</v>
      </c>
      <c r="E872" s="43">
        <v>46126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43">
        <v>46193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30"/>
      <c r="X872" s="30"/>
      <c r="Y872" s="30"/>
      <c r="Z872" s="30"/>
      <c r="AA872" s="30"/>
      <c r="AB872" s="30"/>
      <c r="AC872" s="27"/>
      <c r="AD872" s="31"/>
      <c r="AE872" s="32" t="str">
        <f t="shared" si="67"/>
        <v/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3004</v>
      </c>
      <c r="C873" s="25" t="s">
        <v>3005</v>
      </c>
      <c r="D873" s="23" t="s">
        <v>2237</v>
      </c>
      <c r="E873" s="43">
        <v>46126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43">
        <v>46193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30"/>
      <c r="X873" s="30"/>
      <c r="Y873" s="30"/>
      <c r="Z873" s="30"/>
      <c r="AA873" s="30"/>
      <c r="AB873" s="30"/>
      <c r="AC873" s="27"/>
      <c r="AD873" s="31"/>
      <c r="AE873" s="32" t="str">
        <f t="shared" si="67"/>
        <v/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3006</v>
      </c>
      <c r="C874" s="41" t="s">
        <v>3007</v>
      </c>
      <c r="D874" s="39" t="s">
        <v>2237</v>
      </c>
      <c r="E874" s="43">
        <v>46126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43">
        <v>46193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30"/>
      <c r="X874" s="30"/>
      <c r="Y874" s="30"/>
      <c r="Z874" s="30"/>
      <c r="AA874" s="30"/>
      <c r="AB874" s="30"/>
      <c r="AC874" s="27"/>
      <c r="AD874" s="31"/>
      <c r="AE874" s="32" t="str">
        <f t="shared" si="67"/>
        <v/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3008</v>
      </c>
      <c r="C875" s="25" t="s">
        <v>3009</v>
      </c>
      <c r="D875" s="23" t="s">
        <v>2237</v>
      </c>
      <c r="E875" s="43">
        <v>46126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43">
        <v>46193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30"/>
      <c r="X875" s="30"/>
      <c r="Y875" s="30"/>
      <c r="Z875" s="30"/>
      <c r="AA875" s="30"/>
      <c r="AB875" s="30"/>
      <c r="AC875" s="27"/>
      <c r="AD875" s="31"/>
      <c r="AE875" s="32" t="str">
        <f t="shared" si="67"/>
        <v/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3010</v>
      </c>
      <c r="C876" s="41" t="s">
        <v>3011</v>
      </c>
      <c r="D876" s="39" t="s">
        <v>2237</v>
      </c>
      <c r="E876" s="43">
        <v>46126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43">
        <v>46193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30"/>
      <c r="X876" s="30"/>
      <c r="Y876" s="30"/>
      <c r="Z876" s="30"/>
      <c r="AA876" s="30"/>
      <c r="AB876" s="30"/>
      <c r="AC876" s="27"/>
      <c r="AD876" s="31"/>
      <c r="AE876" s="32" t="str">
        <f t="shared" si="67"/>
        <v/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3012</v>
      </c>
      <c r="C877" s="25" t="s">
        <v>3013</v>
      </c>
      <c r="D877" s="23" t="s">
        <v>2237</v>
      </c>
      <c r="E877" s="43">
        <v>46126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43">
        <v>46193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30"/>
      <c r="X877" s="30"/>
      <c r="Y877" s="30"/>
      <c r="Z877" s="30"/>
      <c r="AA877" s="30"/>
      <c r="AB877" s="30"/>
      <c r="AC877" s="27"/>
      <c r="AD877" s="31"/>
      <c r="AE877" s="32" t="str">
        <f t="shared" si="67"/>
        <v/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3014</v>
      </c>
      <c r="C878" s="41" t="s">
        <v>3015</v>
      </c>
      <c r="D878" s="39" t="s">
        <v>2237</v>
      </c>
      <c r="E878" s="43">
        <v>46126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43">
        <v>46193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30"/>
      <c r="X878" s="30"/>
      <c r="Y878" s="30"/>
      <c r="Z878" s="30"/>
      <c r="AA878" s="30"/>
      <c r="AB878" s="30"/>
      <c r="AC878" s="27"/>
      <c r="AD878" s="31"/>
      <c r="AE878" s="32" t="str">
        <f t="shared" si="67"/>
        <v/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3016</v>
      </c>
      <c r="C879" s="25" t="s">
        <v>3017</v>
      </c>
      <c r="D879" s="23" t="s">
        <v>2237</v>
      </c>
      <c r="E879" s="43">
        <v>46126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43">
        <v>46193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30"/>
      <c r="X879" s="30"/>
      <c r="Y879" s="30"/>
      <c r="Z879" s="30"/>
      <c r="AA879" s="30"/>
      <c r="AB879" s="30"/>
      <c r="AC879" s="27"/>
      <c r="AD879" s="31"/>
      <c r="AE879" s="32" t="str">
        <f t="shared" si="67"/>
        <v/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3018</v>
      </c>
      <c r="C880" s="41" t="s">
        <v>3019</v>
      </c>
      <c r="D880" s="39" t="s">
        <v>2237</v>
      </c>
      <c r="E880" s="43">
        <v>46126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43">
        <v>46193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30"/>
      <c r="X880" s="30"/>
      <c r="Y880" s="30"/>
      <c r="Z880" s="30"/>
      <c r="AA880" s="30"/>
      <c r="AB880" s="30"/>
      <c r="AC880" s="27"/>
      <c r="AD880" s="31"/>
      <c r="AE880" s="32" t="str">
        <f t="shared" si="67"/>
        <v/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3020</v>
      </c>
      <c r="C881" s="25" t="s">
        <v>3021</v>
      </c>
      <c r="D881" s="23" t="s">
        <v>2237</v>
      </c>
      <c r="E881" s="43">
        <v>46126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43">
        <v>46193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30"/>
      <c r="X881" s="30"/>
      <c r="Y881" s="30"/>
      <c r="Z881" s="30"/>
      <c r="AA881" s="30"/>
      <c r="AB881" s="30"/>
      <c r="AC881" s="27"/>
      <c r="AD881" s="31"/>
      <c r="AE881" s="32" t="str">
        <f t="shared" si="67"/>
        <v/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3022</v>
      </c>
      <c r="C882" s="41" t="s">
        <v>3023</v>
      </c>
      <c r="D882" s="39" t="s">
        <v>2237</v>
      </c>
      <c r="E882" s="43">
        <v>46126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43">
        <v>46193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30"/>
      <c r="X882" s="30"/>
      <c r="Y882" s="30"/>
      <c r="Z882" s="30"/>
      <c r="AA882" s="30"/>
      <c r="AB882" s="30"/>
      <c r="AC882" s="27"/>
      <c r="AD882" s="31"/>
      <c r="AE882" s="32" t="str">
        <f t="shared" si="67"/>
        <v/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3024</v>
      </c>
      <c r="C883" s="25" t="s">
        <v>3025</v>
      </c>
      <c r="D883" s="23" t="s">
        <v>2237</v>
      </c>
      <c r="E883" s="43">
        <v>46126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43">
        <v>46193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30"/>
      <c r="X883" s="30"/>
      <c r="Y883" s="30"/>
      <c r="Z883" s="30"/>
      <c r="AA883" s="30"/>
      <c r="AB883" s="30"/>
      <c r="AC883" s="27"/>
      <c r="AD883" s="31"/>
      <c r="AE883" s="32" t="str">
        <f t="shared" si="67"/>
        <v/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3026</v>
      </c>
      <c r="C884" s="41" t="s">
        <v>3027</v>
      </c>
      <c r="D884" s="39" t="s">
        <v>2237</v>
      </c>
      <c r="E884" s="43">
        <v>46126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43">
        <v>46193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30"/>
      <c r="X884" s="30"/>
      <c r="Y884" s="30"/>
      <c r="Z884" s="30"/>
      <c r="AA884" s="30"/>
      <c r="AB884" s="30"/>
      <c r="AC884" s="27"/>
      <c r="AD884" s="31"/>
      <c r="AE884" s="32" t="str">
        <f t="shared" si="67"/>
        <v/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3028</v>
      </c>
      <c r="C885" s="25" t="s">
        <v>3029</v>
      </c>
      <c r="D885" s="23" t="s">
        <v>2237</v>
      </c>
      <c r="E885" s="43">
        <v>46126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43">
        <v>46193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30"/>
      <c r="X885" s="30"/>
      <c r="Y885" s="30"/>
      <c r="Z885" s="30"/>
      <c r="AA885" s="30"/>
      <c r="AB885" s="30"/>
      <c r="AC885" s="27"/>
      <c r="AD885" s="31"/>
      <c r="AE885" s="32" t="str">
        <f t="shared" si="67"/>
        <v/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3030</v>
      </c>
      <c r="C886" s="41" t="s">
        <v>3031</v>
      </c>
      <c r="D886" s="39" t="s">
        <v>2237</v>
      </c>
      <c r="E886" s="43">
        <v>46126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43">
        <v>46193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30"/>
      <c r="X886" s="30"/>
      <c r="Y886" s="30"/>
      <c r="Z886" s="30"/>
      <c r="AA886" s="30"/>
      <c r="AB886" s="30"/>
      <c r="AC886" s="27"/>
      <c r="AD886" s="31"/>
      <c r="AE886" s="32" t="str">
        <f t="shared" si="67"/>
        <v/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3032</v>
      </c>
      <c r="C887" s="25" t="s">
        <v>3033</v>
      </c>
      <c r="D887" s="23" t="s">
        <v>2237</v>
      </c>
      <c r="E887" s="43">
        <v>46126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43">
        <v>46193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30"/>
      <c r="X887" s="30"/>
      <c r="Y887" s="30"/>
      <c r="Z887" s="30"/>
      <c r="AA887" s="30"/>
      <c r="AB887" s="30"/>
      <c r="AC887" s="27"/>
      <c r="AD887" s="31"/>
      <c r="AE887" s="32" t="str">
        <f t="shared" si="67"/>
        <v/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3034</v>
      </c>
      <c r="C888" s="41" t="s">
        <v>3035</v>
      </c>
      <c r="D888" s="39" t="s">
        <v>2237</v>
      </c>
      <c r="E888" s="43">
        <v>46126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43">
        <v>46193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30"/>
      <c r="X888" s="30"/>
      <c r="Y888" s="30"/>
      <c r="Z888" s="30"/>
      <c r="AA888" s="30"/>
      <c r="AB888" s="30"/>
      <c r="AC888" s="27"/>
      <c r="AD888" s="31"/>
      <c r="AE888" s="32" t="str">
        <f t="shared" si="67"/>
        <v/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3036</v>
      </c>
      <c r="C889" s="25" t="s">
        <v>3037</v>
      </c>
      <c r="D889" s="23" t="s">
        <v>2237</v>
      </c>
      <c r="E889" s="43">
        <v>46126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43">
        <v>46193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30"/>
      <c r="X889" s="30"/>
      <c r="Y889" s="30"/>
      <c r="Z889" s="30"/>
      <c r="AA889" s="30"/>
      <c r="AB889" s="30"/>
      <c r="AC889" s="27"/>
      <c r="AD889" s="31"/>
      <c r="AE889" s="32" t="str">
        <f t="shared" si="67"/>
        <v/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3038</v>
      </c>
      <c r="C890" s="41" t="s">
        <v>3039</v>
      </c>
      <c r="D890" s="39" t="s">
        <v>2237</v>
      </c>
      <c r="E890" s="43">
        <v>46126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43">
        <v>46193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30"/>
      <c r="X890" s="30"/>
      <c r="Y890" s="30"/>
      <c r="Z890" s="30"/>
      <c r="AA890" s="30"/>
      <c r="AB890" s="30"/>
      <c r="AC890" s="27"/>
      <c r="AD890" s="31"/>
      <c r="AE890" s="32" t="str">
        <f t="shared" si="67"/>
        <v/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3040</v>
      </c>
      <c r="C891" s="25" t="s">
        <v>3041</v>
      </c>
      <c r="D891" s="23" t="s">
        <v>2237</v>
      </c>
      <c r="E891" s="43">
        <v>46126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43">
        <v>46193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30"/>
      <c r="X891" s="30"/>
      <c r="Y891" s="30"/>
      <c r="Z891" s="30"/>
      <c r="AA891" s="30"/>
      <c r="AB891" s="30"/>
      <c r="AC891" s="27"/>
      <c r="AD891" s="31"/>
      <c r="AE891" s="32" t="str">
        <f t="shared" si="67"/>
        <v/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3042</v>
      </c>
      <c r="C892" s="41" t="s">
        <v>3043</v>
      </c>
      <c r="D892" s="39" t="s">
        <v>2237</v>
      </c>
      <c r="E892" s="43">
        <v>46126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43">
        <v>46193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30"/>
      <c r="X892" s="30"/>
      <c r="Y892" s="30"/>
      <c r="Z892" s="30"/>
      <c r="AA892" s="30"/>
      <c r="AB892" s="30"/>
      <c r="AC892" s="27"/>
      <c r="AD892" s="31"/>
      <c r="AE892" s="32" t="str">
        <f t="shared" si="67"/>
        <v/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3044</v>
      </c>
      <c r="C893" s="25" t="s">
        <v>3045</v>
      </c>
      <c r="D893" s="23" t="s">
        <v>2237</v>
      </c>
      <c r="E893" s="43">
        <v>46126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43">
        <v>46193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30"/>
      <c r="X893" s="30"/>
      <c r="Y893" s="30"/>
      <c r="Z893" s="30"/>
      <c r="AA893" s="30"/>
      <c r="AB893" s="30"/>
      <c r="AC893" s="27"/>
      <c r="AD893" s="31"/>
      <c r="AE893" s="32" t="str">
        <f t="shared" si="67"/>
        <v/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3046</v>
      </c>
      <c r="C894" s="41" t="s">
        <v>3047</v>
      </c>
      <c r="D894" s="39" t="s">
        <v>2237</v>
      </c>
      <c r="E894" s="43">
        <v>46126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 t="s">
        <v>56</v>
      </c>
      <c r="K894" s="27"/>
      <c r="L894" s="28" t="s">
        <v>57</v>
      </c>
      <c r="M894" s="29" t="str">
        <f t="shared" si="65"/>
        <v>✓ OK</v>
      </c>
      <c r="N894" s="43">
        <v>46193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 t="s">
        <v>56</v>
      </c>
      <c r="T894" s="27"/>
      <c r="U894" s="28" t="s">
        <v>57</v>
      </c>
      <c r="V894" s="29" t="str">
        <f t="shared" si="66"/>
        <v>✓ OK</v>
      </c>
      <c r="W894" s="30"/>
      <c r="X894" s="30"/>
      <c r="Y894" s="30"/>
      <c r="Z894" s="30"/>
      <c r="AA894" s="30"/>
      <c r="AB894" s="30"/>
      <c r="AC894" s="27"/>
      <c r="AD894" s="31"/>
      <c r="AE894" s="32" t="str">
        <f t="shared" si="67"/>
        <v/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3048</v>
      </c>
      <c r="C895" s="25" t="s">
        <v>3049</v>
      </c>
      <c r="D895" s="23" t="s">
        <v>2237</v>
      </c>
      <c r="E895" s="43">
        <v>46126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43">
        <v>46193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30"/>
      <c r="X895" s="30"/>
      <c r="Y895" s="30"/>
      <c r="Z895" s="30"/>
      <c r="AA895" s="30"/>
      <c r="AB895" s="30"/>
      <c r="AC895" s="27"/>
      <c r="AD895" s="31"/>
      <c r="AE895" s="32" t="str">
        <f t="shared" si="67"/>
        <v/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3050</v>
      </c>
      <c r="C896" s="41" t="s">
        <v>3051</v>
      </c>
      <c r="D896" s="39" t="s">
        <v>2237</v>
      </c>
      <c r="E896" s="43">
        <v>46126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43">
        <v>46193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30"/>
      <c r="X896" s="30"/>
      <c r="Y896" s="30"/>
      <c r="Z896" s="30"/>
      <c r="AA896" s="30"/>
      <c r="AB896" s="30"/>
      <c r="AC896" s="27"/>
      <c r="AD896" s="31"/>
      <c r="AE896" s="32" t="str">
        <f t="shared" si="67"/>
        <v/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3052</v>
      </c>
      <c r="C897" s="25" t="s">
        <v>3053</v>
      </c>
      <c r="D897" s="23" t="s">
        <v>2237</v>
      </c>
      <c r="E897" s="43">
        <v>46126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43">
        <v>46193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30"/>
      <c r="X897" s="30"/>
      <c r="Y897" s="30"/>
      <c r="Z897" s="30"/>
      <c r="AA897" s="30"/>
      <c r="AB897" s="30"/>
      <c r="AC897" s="27"/>
      <c r="AD897" s="31"/>
      <c r="AE897" s="32" t="str">
        <f t="shared" si="67"/>
        <v/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3054</v>
      </c>
      <c r="C898" s="41" t="s">
        <v>3055</v>
      </c>
      <c r="D898" s="39" t="s">
        <v>2237</v>
      </c>
      <c r="E898" s="43">
        <v>46126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43">
        <v>46193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30"/>
      <c r="X898" s="30"/>
      <c r="Y898" s="30"/>
      <c r="Z898" s="30"/>
      <c r="AA898" s="30"/>
      <c r="AB898" s="30"/>
      <c r="AC898" s="27"/>
      <c r="AD898" s="31"/>
      <c r="AE898" s="32" t="str">
        <f t="shared" si="67"/>
        <v/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3056</v>
      </c>
      <c r="C899" s="25" t="s">
        <v>3057</v>
      </c>
      <c r="D899" s="23" t="s">
        <v>2237</v>
      </c>
      <c r="E899" s="43">
        <v>46126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43">
        <v>46193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30"/>
      <c r="X899" s="30"/>
      <c r="Y899" s="30"/>
      <c r="Z899" s="30"/>
      <c r="AA899" s="30"/>
      <c r="AB899" s="30"/>
      <c r="AC899" s="27"/>
      <c r="AD899" s="31"/>
      <c r="AE899" s="32" t="str">
        <f t="shared" si="67"/>
        <v/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3058</v>
      </c>
      <c r="C900" s="41" t="s">
        <v>3059</v>
      </c>
      <c r="D900" s="39" t="s">
        <v>2237</v>
      </c>
      <c r="E900" s="43">
        <v>46126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43">
        <v>46193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30"/>
      <c r="X900" s="30"/>
      <c r="Y900" s="30"/>
      <c r="Z900" s="30"/>
      <c r="AA900" s="30"/>
      <c r="AB900" s="30"/>
      <c r="AC900" s="27"/>
      <c r="AD900" s="31"/>
      <c r="AE900" s="32" t="str">
        <f t="shared" si="67"/>
        <v/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3060</v>
      </c>
      <c r="C901" s="25" t="s">
        <v>3061</v>
      </c>
      <c r="D901" s="23" t="s">
        <v>2237</v>
      </c>
      <c r="E901" s="43">
        <v>46126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43">
        <v>46193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30"/>
      <c r="X901" s="30"/>
      <c r="Y901" s="30"/>
      <c r="Z901" s="30"/>
      <c r="AA901" s="30"/>
      <c r="AB901" s="30"/>
      <c r="AC901" s="27"/>
      <c r="AD901" s="31"/>
      <c r="AE901" s="32" t="str">
        <f t="shared" ref="AE901:AE964" si="72">IF(W901="","",IF(Z901="Yes","❌ Disc",IF(Y901="No","⚠ Missing",IF(AB901="Yes","✓ OK","⚠ Check"))))</f>
        <v/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3062</v>
      </c>
      <c r="C902" s="41" t="s">
        <v>3063</v>
      </c>
      <c r="D902" s="39" t="s">
        <v>2237</v>
      </c>
      <c r="E902" s="43">
        <v>46126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43">
        <v>46193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30"/>
      <c r="X902" s="30"/>
      <c r="Y902" s="30"/>
      <c r="Z902" s="30"/>
      <c r="AA902" s="30"/>
      <c r="AB902" s="30"/>
      <c r="AC902" s="27"/>
      <c r="AD902" s="31"/>
      <c r="AE902" s="32" t="str">
        <f t="shared" si="72"/>
        <v/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3064</v>
      </c>
      <c r="C903" s="25" t="s">
        <v>3065</v>
      </c>
      <c r="D903" s="23" t="s">
        <v>2237</v>
      </c>
      <c r="E903" s="43">
        <v>46126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43">
        <v>46193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30"/>
      <c r="X903" s="30"/>
      <c r="Y903" s="30"/>
      <c r="Z903" s="30"/>
      <c r="AA903" s="30"/>
      <c r="AB903" s="30"/>
      <c r="AC903" s="27"/>
      <c r="AD903" s="31"/>
      <c r="AE903" s="32" t="str">
        <f t="shared" si="72"/>
        <v/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3066</v>
      </c>
      <c r="C904" s="41" t="s">
        <v>3067</v>
      </c>
      <c r="D904" s="39" t="s">
        <v>2237</v>
      </c>
      <c r="E904" s="43">
        <v>46126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43">
        <v>46193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30"/>
      <c r="X904" s="30"/>
      <c r="Y904" s="30"/>
      <c r="Z904" s="30"/>
      <c r="AA904" s="30"/>
      <c r="AB904" s="30"/>
      <c r="AC904" s="27"/>
      <c r="AD904" s="31"/>
      <c r="AE904" s="32" t="str">
        <f t="shared" si="72"/>
        <v/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3068</v>
      </c>
      <c r="C905" s="25" t="s">
        <v>3069</v>
      </c>
      <c r="D905" s="23" t="s">
        <v>2237</v>
      </c>
      <c r="E905" s="43">
        <v>46126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43">
        <v>46193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30"/>
      <c r="X905" s="30"/>
      <c r="Y905" s="30"/>
      <c r="Z905" s="30"/>
      <c r="AA905" s="30"/>
      <c r="AB905" s="30"/>
      <c r="AC905" s="27"/>
      <c r="AD905" s="31"/>
      <c r="AE905" s="32" t="str">
        <f t="shared" si="72"/>
        <v/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3070</v>
      </c>
      <c r="C906" s="41" t="s">
        <v>3071</v>
      </c>
      <c r="D906" s="39" t="s">
        <v>2237</v>
      </c>
      <c r="E906" s="43">
        <v>46126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43">
        <v>46193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30"/>
      <c r="X906" s="30"/>
      <c r="Y906" s="30"/>
      <c r="Z906" s="30"/>
      <c r="AA906" s="30"/>
      <c r="AB906" s="30"/>
      <c r="AC906" s="27"/>
      <c r="AD906" s="31"/>
      <c r="AE906" s="32" t="str">
        <f t="shared" si="72"/>
        <v/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3072</v>
      </c>
      <c r="C907" s="25" t="s">
        <v>3073</v>
      </c>
      <c r="D907" s="23" t="s">
        <v>2237</v>
      </c>
      <c r="E907" s="43">
        <v>46126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43">
        <v>46193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30"/>
      <c r="X907" s="30"/>
      <c r="Y907" s="30"/>
      <c r="Z907" s="30"/>
      <c r="AA907" s="30"/>
      <c r="AB907" s="30"/>
      <c r="AC907" s="27"/>
      <c r="AD907" s="31"/>
      <c r="AE907" s="32" t="str">
        <f t="shared" si="72"/>
        <v/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3074</v>
      </c>
      <c r="C908" s="41" t="s">
        <v>3075</v>
      </c>
      <c r="D908" s="39" t="s">
        <v>2237</v>
      </c>
      <c r="E908" s="43">
        <v>46126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43">
        <v>46193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30"/>
      <c r="X908" s="30"/>
      <c r="Y908" s="30"/>
      <c r="Z908" s="30"/>
      <c r="AA908" s="30"/>
      <c r="AB908" s="30"/>
      <c r="AC908" s="27"/>
      <c r="AD908" s="31"/>
      <c r="AE908" s="32" t="str">
        <f t="shared" si="72"/>
        <v/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3076</v>
      </c>
      <c r="C909" s="25" t="s">
        <v>3077</v>
      </c>
      <c r="D909" s="23" t="s">
        <v>2237</v>
      </c>
      <c r="E909" s="43">
        <v>46126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43">
        <v>46193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30"/>
      <c r="X909" s="30"/>
      <c r="Y909" s="30"/>
      <c r="Z909" s="30"/>
      <c r="AA909" s="30"/>
      <c r="AB909" s="30"/>
      <c r="AC909" s="27"/>
      <c r="AD909" s="31"/>
      <c r="AE909" s="32" t="str">
        <f t="shared" si="72"/>
        <v/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3078</v>
      </c>
      <c r="C910" s="41" t="s">
        <v>3079</v>
      </c>
      <c r="D910" s="39" t="s">
        <v>2237</v>
      </c>
      <c r="E910" s="43">
        <v>46126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43">
        <v>46193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30"/>
      <c r="X910" s="30"/>
      <c r="Y910" s="30"/>
      <c r="Z910" s="30"/>
      <c r="AA910" s="30"/>
      <c r="AB910" s="30"/>
      <c r="AC910" s="27"/>
      <c r="AD910" s="31"/>
      <c r="AE910" s="32" t="str">
        <f t="shared" si="72"/>
        <v/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3080</v>
      </c>
      <c r="C911" s="25" t="s">
        <v>3081</v>
      </c>
      <c r="D911" s="23" t="s">
        <v>2237</v>
      </c>
      <c r="E911" s="43">
        <v>46126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43">
        <v>46193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30"/>
      <c r="X911" s="30"/>
      <c r="Y911" s="30"/>
      <c r="Z911" s="30"/>
      <c r="AA911" s="30"/>
      <c r="AB911" s="30"/>
      <c r="AC911" s="27"/>
      <c r="AD911" s="31"/>
      <c r="AE911" s="32" t="str">
        <f t="shared" si="72"/>
        <v/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3082</v>
      </c>
      <c r="C912" s="41" t="s">
        <v>3083</v>
      </c>
      <c r="D912" s="39" t="s">
        <v>2237</v>
      </c>
      <c r="E912" s="43">
        <v>46126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43">
        <v>46193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30"/>
      <c r="X912" s="30"/>
      <c r="Y912" s="30"/>
      <c r="Z912" s="30"/>
      <c r="AA912" s="30"/>
      <c r="AB912" s="30"/>
      <c r="AC912" s="27"/>
      <c r="AD912" s="31"/>
      <c r="AE912" s="32" t="str">
        <f t="shared" si="72"/>
        <v/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3084</v>
      </c>
      <c r="C913" s="25" t="s">
        <v>3085</v>
      </c>
      <c r="D913" s="23" t="s">
        <v>2237</v>
      </c>
      <c r="E913" s="43">
        <v>46126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43">
        <v>46193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30"/>
      <c r="X913" s="30"/>
      <c r="Y913" s="30"/>
      <c r="Z913" s="30"/>
      <c r="AA913" s="30"/>
      <c r="AB913" s="30"/>
      <c r="AC913" s="27"/>
      <c r="AD913" s="31"/>
      <c r="AE913" s="32" t="str">
        <f t="shared" si="72"/>
        <v/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3086</v>
      </c>
      <c r="C914" s="41" t="s">
        <v>3087</v>
      </c>
      <c r="D914" s="39" t="s">
        <v>2237</v>
      </c>
      <c r="E914" s="43">
        <v>46126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43">
        <v>46193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30"/>
      <c r="X914" s="30"/>
      <c r="Y914" s="30"/>
      <c r="Z914" s="30"/>
      <c r="AA914" s="30"/>
      <c r="AB914" s="30"/>
      <c r="AC914" s="27"/>
      <c r="AD914" s="31"/>
      <c r="AE914" s="32" t="str">
        <f t="shared" si="72"/>
        <v/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3088</v>
      </c>
      <c r="C915" s="25" t="s">
        <v>3089</v>
      </c>
      <c r="D915" s="23" t="s">
        <v>2237</v>
      </c>
      <c r="E915" s="43">
        <v>46126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43">
        <v>46193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30"/>
      <c r="X915" s="30"/>
      <c r="Y915" s="30"/>
      <c r="Z915" s="30"/>
      <c r="AA915" s="30"/>
      <c r="AB915" s="30"/>
      <c r="AC915" s="27"/>
      <c r="AD915" s="31"/>
      <c r="AE915" s="32" t="str">
        <f t="shared" si="72"/>
        <v/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3090</v>
      </c>
      <c r="C916" s="41" t="s">
        <v>3091</v>
      </c>
      <c r="D916" s="39" t="s">
        <v>2237</v>
      </c>
      <c r="E916" s="43">
        <v>46126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43">
        <v>46193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30"/>
      <c r="X916" s="30"/>
      <c r="Y916" s="30"/>
      <c r="Z916" s="30"/>
      <c r="AA916" s="30"/>
      <c r="AB916" s="30"/>
      <c r="AC916" s="27"/>
      <c r="AD916" s="31"/>
      <c r="AE916" s="32" t="str">
        <f t="shared" si="72"/>
        <v/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3092</v>
      </c>
      <c r="C917" s="25" t="s">
        <v>3093</v>
      </c>
      <c r="D917" s="23" t="s">
        <v>2237</v>
      </c>
      <c r="E917" s="43">
        <v>46126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43">
        <v>46193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30"/>
      <c r="X917" s="30"/>
      <c r="Y917" s="30"/>
      <c r="Z917" s="30"/>
      <c r="AA917" s="30"/>
      <c r="AB917" s="30"/>
      <c r="AC917" s="27"/>
      <c r="AD917" s="31"/>
      <c r="AE917" s="32" t="str">
        <f t="shared" si="72"/>
        <v/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3094</v>
      </c>
      <c r="C918" s="41" t="s">
        <v>3095</v>
      </c>
      <c r="D918" s="39" t="s">
        <v>2237</v>
      </c>
      <c r="E918" s="43">
        <v>46126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43">
        <v>46193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30"/>
      <c r="X918" s="30"/>
      <c r="Y918" s="30"/>
      <c r="Z918" s="30"/>
      <c r="AA918" s="30"/>
      <c r="AB918" s="30"/>
      <c r="AC918" s="27"/>
      <c r="AD918" s="31"/>
      <c r="AE918" s="32" t="str">
        <f t="shared" si="72"/>
        <v/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3096</v>
      </c>
      <c r="C919" s="25" t="s">
        <v>3097</v>
      </c>
      <c r="D919" s="23" t="s">
        <v>2237</v>
      </c>
      <c r="E919" s="43">
        <v>46126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43">
        <v>46193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30"/>
      <c r="X919" s="30"/>
      <c r="Y919" s="30"/>
      <c r="Z919" s="30"/>
      <c r="AA919" s="30"/>
      <c r="AB919" s="30"/>
      <c r="AC919" s="27"/>
      <c r="AD919" s="31"/>
      <c r="AE919" s="32" t="str">
        <f t="shared" si="72"/>
        <v/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3098</v>
      </c>
      <c r="C920" s="41" t="s">
        <v>3099</v>
      </c>
      <c r="D920" s="39" t="s">
        <v>2237</v>
      </c>
      <c r="E920" s="43">
        <v>46126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43">
        <v>46193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30"/>
      <c r="X920" s="30"/>
      <c r="Y920" s="30"/>
      <c r="Z920" s="30"/>
      <c r="AA920" s="30"/>
      <c r="AB920" s="30"/>
      <c r="AC920" s="27"/>
      <c r="AD920" s="31"/>
      <c r="AE920" s="32" t="str">
        <f t="shared" si="72"/>
        <v/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3100</v>
      </c>
      <c r="C921" s="25" t="s">
        <v>3101</v>
      </c>
      <c r="D921" s="23" t="s">
        <v>2237</v>
      </c>
      <c r="E921" s="43">
        <v>46126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43">
        <v>46193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30"/>
      <c r="X921" s="30"/>
      <c r="Y921" s="30"/>
      <c r="Z921" s="30"/>
      <c r="AA921" s="30"/>
      <c r="AB921" s="30"/>
      <c r="AC921" s="27"/>
      <c r="AD921" s="31"/>
      <c r="AE921" s="32" t="str">
        <f t="shared" si="72"/>
        <v/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3102</v>
      </c>
      <c r="C922" s="41" t="s">
        <v>3103</v>
      </c>
      <c r="D922" s="39" t="s">
        <v>2237</v>
      </c>
      <c r="E922" s="43">
        <v>46126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43">
        <v>46193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30"/>
      <c r="X922" s="30"/>
      <c r="Y922" s="30"/>
      <c r="Z922" s="30"/>
      <c r="AA922" s="30"/>
      <c r="AB922" s="30"/>
      <c r="AC922" s="27"/>
      <c r="AD922" s="31"/>
      <c r="AE922" s="32" t="str">
        <f t="shared" si="72"/>
        <v/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3104</v>
      </c>
      <c r="C923" s="25" t="s">
        <v>3105</v>
      </c>
      <c r="D923" s="23" t="s">
        <v>2237</v>
      </c>
      <c r="E923" s="43">
        <v>46126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43">
        <v>46193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30"/>
      <c r="X923" s="30"/>
      <c r="Y923" s="30"/>
      <c r="Z923" s="30"/>
      <c r="AA923" s="30"/>
      <c r="AB923" s="30"/>
      <c r="AC923" s="27"/>
      <c r="AD923" s="31"/>
      <c r="AE923" s="32" t="str">
        <f t="shared" si="72"/>
        <v/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3106</v>
      </c>
      <c r="C924" s="41" t="s">
        <v>3107</v>
      </c>
      <c r="D924" s="39" t="s">
        <v>2237</v>
      </c>
      <c r="E924" s="43">
        <v>46126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43">
        <v>46193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30"/>
      <c r="X924" s="30"/>
      <c r="Y924" s="30"/>
      <c r="Z924" s="30"/>
      <c r="AA924" s="30"/>
      <c r="AB924" s="30"/>
      <c r="AC924" s="27"/>
      <c r="AD924" s="31"/>
      <c r="AE924" s="32" t="str">
        <f t="shared" si="72"/>
        <v/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3108</v>
      </c>
      <c r="C925" s="25" t="s">
        <v>3109</v>
      </c>
      <c r="D925" s="23" t="s">
        <v>2237</v>
      </c>
      <c r="E925" s="43">
        <v>46126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43">
        <v>46193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30"/>
      <c r="X925" s="30"/>
      <c r="Y925" s="30"/>
      <c r="Z925" s="30"/>
      <c r="AA925" s="30"/>
      <c r="AB925" s="30"/>
      <c r="AC925" s="27"/>
      <c r="AD925" s="31"/>
      <c r="AE925" s="32" t="str">
        <f t="shared" si="72"/>
        <v/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3110</v>
      </c>
      <c r="C926" s="41" t="s">
        <v>3111</v>
      </c>
      <c r="D926" s="39" t="s">
        <v>2237</v>
      </c>
      <c r="E926" s="43">
        <v>46126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43">
        <v>46193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30"/>
      <c r="X926" s="30"/>
      <c r="Y926" s="30"/>
      <c r="Z926" s="30"/>
      <c r="AA926" s="30"/>
      <c r="AB926" s="30"/>
      <c r="AC926" s="27"/>
      <c r="AD926" s="31"/>
      <c r="AE926" s="32" t="str">
        <f t="shared" si="72"/>
        <v/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3112</v>
      </c>
      <c r="C927" s="25" t="s">
        <v>3113</v>
      </c>
      <c r="D927" s="23" t="s">
        <v>2237</v>
      </c>
      <c r="E927" s="43">
        <v>46126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43">
        <v>46193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30"/>
      <c r="X927" s="30"/>
      <c r="Y927" s="30"/>
      <c r="Z927" s="30"/>
      <c r="AA927" s="30"/>
      <c r="AB927" s="30"/>
      <c r="AC927" s="27"/>
      <c r="AD927" s="31"/>
      <c r="AE927" s="32" t="str">
        <f t="shared" si="72"/>
        <v/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3114</v>
      </c>
      <c r="C928" s="41" t="s">
        <v>3115</v>
      </c>
      <c r="D928" s="39" t="s">
        <v>2237</v>
      </c>
      <c r="E928" s="43">
        <v>46126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43">
        <v>46193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30"/>
      <c r="X928" s="30"/>
      <c r="Y928" s="30"/>
      <c r="Z928" s="30"/>
      <c r="AA928" s="30"/>
      <c r="AB928" s="30"/>
      <c r="AC928" s="27"/>
      <c r="AD928" s="31"/>
      <c r="AE928" s="32" t="str">
        <f t="shared" si="72"/>
        <v/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3116</v>
      </c>
      <c r="C929" s="25" t="s">
        <v>3117</v>
      </c>
      <c r="D929" s="23" t="s">
        <v>2237</v>
      </c>
      <c r="E929" s="43">
        <v>46126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43">
        <v>46193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30"/>
      <c r="X929" s="30"/>
      <c r="Y929" s="30"/>
      <c r="Z929" s="30"/>
      <c r="AA929" s="30"/>
      <c r="AB929" s="30"/>
      <c r="AC929" s="27"/>
      <c r="AD929" s="31"/>
      <c r="AE929" s="32" t="str">
        <f t="shared" si="72"/>
        <v/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3118</v>
      </c>
      <c r="C930" s="41" t="s">
        <v>3119</v>
      </c>
      <c r="D930" s="39" t="s">
        <v>2237</v>
      </c>
      <c r="E930" s="43">
        <v>46126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43">
        <v>46193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30"/>
      <c r="X930" s="30"/>
      <c r="Y930" s="30"/>
      <c r="Z930" s="30"/>
      <c r="AA930" s="30"/>
      <c r="AB930" s="30"/>
      <c r="AC930" s="27"/>
      <c r="AD930" s="31"/>
      <c r="AE930" s="32" t="str">
        <f t="shared" si="72"/>
        <v/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3120</v>
      </c>
      <c r="C931" s="25" t="s">
        <v>3121</v>
      </c>
      <c r="D931" s="23" t="s">
        <v>2237</v>
      </c>
      <c r="E931" s="43">
        <v>46126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43">
        <v>46193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30"/>
      <c r="X931" s="30"/>
      <c r="Y931" s="30"/>
      <c r="Z931" s="30"/>
      <c r="AA931" s="30"/>
      <c r="AB931" s="30"/>
      <c r="AC931" s="27"/>
      <c r="AD931" s="31"/>
      <c r="AE931" s="32" t="str">
        <f t="shared" si="72"/>
        <v/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3122</v>
      </c>
      <c r="C932" s="41" t="s">
        <v>3123</v>
      </c>
      <c r="D932" s="39" t="s">
        <v>2237</v>
      </c>
      <c r="E932" s="43">
        <v>46126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43">
        <v>46193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30"/>
      <c r="X932" s="30"/>
      <c r="Y932" s="30"/>
      <c r="Z932" s="30"/>
      <c r="AA932" s="30"/>
      <c r="AB932" s="30"/>
      <c r="AC932" s="27"/>
      <c r="AD932" s="31"/>
      <c r="AE932" s="32" t="str">
        <f t="shared" si="72"/>
        <v/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3124</v>
      </c>
      <c r="C933" s="25" t="s">
        <v>3125</v>
      </c>
      <c r="D933" s="23" t="s">
        <v>2237</v>
      </c>
      <c r="E933" s="43">
        <v>46126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43">
        <v>46193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30"/>
      <c r="X933" s="30"/>
      <c r="Y933" s="30"/>
      <c r="Z933" s="30"/>
      <c r="AA933" s="30"/>
      <c r="AB933" s="30"/>
      <c r="AC933" s="27"/>
      <c r="AD933" s="31"/>
      <c r="AE933" s="32" t="str">
        <f t="shared" si="72"/>
        <v/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3126</v>
      </c>
      <c r="C934" s="41" t="s">
        <v>3127</v>
      </c>
      <c r="D934" s="39" t="s">
        <v>2237</v>
      </c>
      <c r="E934" s="43">
        <v>46126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43">
        <v>46193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30"/>
      <c r="X934" s="30"/>
      <c r="Y934" s="30"/>
      <c r="Z934" s="30"/>
      <c r="AA934" s="30"/>
      <c r="AB934" s="30"/>
      <c r="AC934" s="27"/>
      <c r="AD934" s="31"/>
      <c r="AE934" s="32" t="str">
        <f t="shared" si="72"/>
        <v/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3128</v>
      </c>
      <c r="C935" s="25" t="s">
        <v>3129</v>
      </c>
      <c r="D935" s="23" t="s">
        <v>2237</v>
      </c>
      <c r="E935" s="43">
        <v>46126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43">
        <v>46193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30"/>
      <c r="X935" s="30"/>
      <c r="Y935" s="30"/>
      <c r="Z935" s="30"/>
      <c r="AA935" s="30"/>
      <c r="AB935" s="30"/>
      <c r="AC935" s="27"/>
      <c r="AD935" s="31"/>
      <c r="AE935" s="32" t="str">
        <f t="shared" si="72"/>
        <v/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3130</v>
      </c>
      <c r="C936" s="41" t="s">
        <v>3131</v>
      </c>
      <c r="D936" s="39" t="s">
        <v>2237</v>
      </c>
      <c r="E936" s="43">
        <v>46126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43">
        <v>46193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30"/>
      <c r="X936" s="30"/>
      <c r="Y936" s="30"/>
      <c r="Z936" s="30"/>
      <c r="AA936" s="30"/>
      <c r="AB936" s="30"/>
      <c r="AC936" s="27"/>
      <c r="AD936" s="31"/>
      <c r="AE936" s="32" t="str">
        <f t="shared" si="72"/>
        <v/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3132</v>
      </c>
      <c r="C937" s="25" t="s">
        <v>3133</v>
      </c>
      <c r="D937" s="23" t="s">
        <v>2237</v>
      </c>
      <c r="E937" s="43">
        <v>46126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43">
        <v>46193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30"/>
      <c r="X937" s="30"/>
      <c r="Y937" s="30"/>
      <c r="Z937" s="30"/>
      <c r="AA937" s="30"/>
      <c r="AB937" s="30"/>
      <c r="AC937" s="27"/>
      <c r="AD937" s="31"/>
      <c r="AE937" s="32" t="str">
        <f t="shared" si="72"/>
        <v/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3134</v>
      </c>
      <c r="C938" s="41" t="s">
        <v>3135</v>
      </c>
      <c r="D938" s="39" t="s">
        <v>2237</v>
      </c>
      <c r="E938" s="43">
        <v>46126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43">
        <v>46193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30"/>
      <c r="X938" s="30"/>
      <c r="Y938" s="30"/>
      <c r="Z938" s="30"/>
      <c r="AA938" s="30"/>
      <c r="AB938" s="30"/>
      <c r="AC938" s="27"/>
      <c r="AD938" s="31"/>
      <c r="AE938" s="32" t="str">
        <f t="shared" si="72"/>
        <v/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3136</v>
      </c>
      <c r="C939" s="25" t="s">
        <v>3137</v>
      </c>
      <c r="D939" s="23" t="s">
        <v>2237</v>
      </c>
      <c r="E939" s="43">
        <v>46126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43">
        <v>46193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30"/>
      <c r="X939" s="30"/>
      <c r="Y939" s="30"/>
      <c r="Z939" s="30"/>
      <c r="AA939" s="30"/>
      <c r="AB939" s="30"/>
      <c r="AC939" s="27"/>
      <c r="AD939" s="31"/>
      <c r="AE939" s="32" t="str">
        <f t="shared" si="72"/>
        <v/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3138</v>
      </c>
      <c r="C940" s="41" t="s">
        <v>3139</v>
      </c>
      <c r="D940" s="39" t="s">
        <v>2237</v>
      </c>
      <c r="E940" s="43">
        <v>46126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43">
        <v>46193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30"/>
      <c r="X940" s="30"/>
      <c r="Y940" s="30"/>
      <c r="Z940" s="30"/>
      <c r="AA940" s="30"/>
      <c r="AB940" s="30"/>
      <c r="AC940" s="27"/>
      <c r="AD940" s="31"/>
      <c r="AE940" s="32" t="str">
        <f t="shared" si="72"/>
        <v/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3140</v>
      </c>
      <c r="C941" s="25" t="s">
        <v>3141</v>
      </c>
      <c r="D941" s="23" t="s">
        <v>2237</v>
      </c>
      <c r="E941" s="43">
        <v>46126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43">
        <v>46193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30"/>
      <c r="X941" s="30"/>
      <c r="Y941" s="30"/>
      <c r="Z941" s="30"/>
      <c r="AA941" s="30"/>
      <c r="AB941" s="30"/>
      <c r="AC941" s="27"/>
      <c r="AD941" s="31"/>
      <c r="AE941" s="32" t="str">
        <f t="shared" si="72"/>
        <v/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3142</v>
      </c>
      <c r="C942" s="41" t="s">
        <v>3143</v>
      </c>
      <c r="D942" s="39" t="s">
        <v>2237</v>
      </c>
      <c r="E942" s="43">
        <v>46126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43">
        <v>46193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30"/>
      <c r="X942" s="30"/>
      <c r="Y942" s="30"/>
      <c r="Z942" s="30"/>
      <c r="AA942" s="30"/>
      <c r="AB942" s="30"/>
      <c r="AC942" s="27"/>
      <c r="AD942" s="31"/>
      <c r="AE942" s="32" t="str">
        <f t="shared" si="72"/>
        <v/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3144</v>
      </c>
      <c r="C943" s="25" t="s">
        <v>3145</v>
      </c>
      <c r="D943" s="23" t="s">
        <v>2237</v>
      </c>
      <c r="E943" s="43">
        <v>46126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43">
        <v>46193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30"/>
      <c r="X943" s="30"/>
      <c r="Y943" s="30"/>
      <c r="Z943" s="30"/>
      <c r="AA943" s="30"/>
      <c r="AB943" s="30"/>
      <c r="AC943" s="27"/>
      <c r="AD943" s="31"/>
      <c r="AE943" s="32" t="str">
        <f t="shared" si="72"/>
        <v/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3146</v>
      </c>
      <c r="C944" s="41" t="s">
        <v>3147</v>
      </c>
      <c r="D944" s="39" t="s">
        <v>2237</v>
      </c>
      <c r="E944" s="43">
        <v>46126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43">
        <v>46193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30"/>
      <c r="X944" s="30"/>
      <c r="Y944" s="30"/>
      <c r="Z944" s="30"/>
      <c r="AA944" s="30"/>
      <c r="AB944" s="30"/>
      <c r="AC944" s="27"/>
      <c r="AD944" s="31"/>
      <c r="AE944" s="32" t="str">
        <f t="shared" si="72"/>
        <v/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3148</v>
      </c>
      <c r="C945" s="25" t="s">
        <v>3149</v>
      </c>
      <c r="D945" s="23" t="s">
        <v>2237</v>
      </c>
      <c r="E945" s="43">
        <v>46126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43">
        <v>46193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30"/>
      <c r="X945" s="30"/>
      <c r="Y945" s="30"/>
      <c r="Z945" s="30"/>
      <c r="AA945" s="30"/>
      <c r="AB945" s="30"/>
      <c r="AC945" s="27"/>
      <c r="AD945" s="31"/>
      <c r="AE945" s="32" t="str">
        <f t="shared" si="72"/>
        <v/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3150</v>
      </c>
      <c r="C946" s="41" t="s">
        <v>3151</v>
      </c>
      <c r="D946" s="39" t="s">
        <v>2237</v>
      </c>
      <c r="E946" s="43">
        <v>46126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43">
        <v>46193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30"/>
      <c r="X946" s="30"/>
      <c r="Y946" s="30"/>
      <c r="Z946" s="30"/>
      <c r="AA946" s="30"/>
      <c r="AB946" s="30"/>
      <c r="AC946" s="27"/>
      <c r="AD946" s="31"/>
      <c r="AE946" s="32" t="str">
        <f t="shared" si="72"/>
        <v/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3152</v>
      </c>
      <c r="C947" s="25" t="s">
        <v>3153</v>
      </c>
      <c r="D947" s="23" t="s">
        <v>2237</v>
      </c>
      <c r="E947" s="43">
        <v>46126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43">
        <v>46193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30"/>
      <c r="X947" s="30"/>
      <c r="Y947" s="30"/>
      <c r="Z947" s="30"/>
      <c r="AA947" s="30"/>
      <c r="AB947" s="30"/>
      <c r="AC947" s="27"/>
      <c r="AD947" s="31"/>
      <c r="AE947" s="32" t="str">
        <f t="shared" si="72"/>
        <v/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3154</v>
      </c>
      <c r="C948" s="41" t="s">
        <v>3155</v>
      </c>
      <c r="D948" s="39" t="s">
        <v>2237</v>
      </c>
      <c r="E948" s="43">
        <v>46126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43">
        <v>46193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30"/>
      <c r="X948" s="30"/>
      <c r="Y948" s="30"/>
      <c r="Z948" s="30"/>
      <c r="AA948" s="30"/>
      <c r="AB948" s="30"/>
      <c r="AC948" s="27"/>
      <c r="AD948" s="31"/>
      <c r="AE948" s="32" t="str">
        <f t="shared" si="72"/>
        <v/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3156</v>
      </c>
      <c r="C949" s="25" t="s">
        <v>3157</v>
      </c>
      <c r="D949" s="23" t="s">
        <v>2237</v>
      </c>
      <c r="E949" s="43">
        <v>46126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43">
        <v>46193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30"/>
      <c r="X949" s="30"/>
      <c r="Y949" s="30"/>
      <c r="Z949" s="30"/>
      <c r="AA949" s="30"/>
      <c r="AB949" s="30"/>
      <c r="AC949" s="27"/>
      <c r="AD949" s="31"/>
      <c r="AE949" s="32" t="str">
        <f t="shared" si="72"/>
        <v/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3158</v>
      </c>
      <c r="C950" s="41" t="s">
        <v>3159</v>
      </c>
      <c r="D950" s="39" t="s">
        <v>2237</v>
      </c>
      <c r="E950" s="43">
        <v>46126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43">
        <v>46193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30"/>
      <c r="X950" s="30"/>
      <c r="Y950" s="30"/>
      <c r="Z950" s="30"/>
      <c r="AA950" s="30"/>
      <c r="AB950" s="30"/>
      <c r="AC950" s="27"/>
      <c r="AD950" s="31"/>
      <c r="AE950" s="32" t="str">
        <f t="shared" si="72"/>
        <v/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3160</v>
      </c>
      <c r="C951" s="25" t="s">
        <v>3161</v>
      </c>
      <c r="D951" s="23" t="s">
        <v>2237</v>
      </c>
      <c r="E951" s="43">
        <v>46126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43">
        <v>46193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30"/>
      <c r="X951" s="30"/>
      <c r="Y951" s="30"/>
      <c r="Z951" s="30"/>
      <c r="AA951" s="30"/>
      <c r="AB951" s="30"/>
      <c r="AC951" s="27"/>
      <c r="AD951" s="31"/>
      <c r="AE951" s="32" t="str">
        <f t="shared" si="72"/>
        <v/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3162</v>
      </c>
      <c r="C952" s="41" t="s">
        <v>3163</v>
      </c>
      <c r="D952" s="39" t="s">
        <v>2237</v>
      </c>
      <c r="E952" s="43">
        <v>46126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43">
        <v>46193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30"/>
      <c r="X952" s="30"/>
      <c r="Y952" s="30"/>
      <c r="Z952" s="30"/>
      <c r="AA952" s="30"/>
      <c r="AB952" s="30"/>
      <c r="AC952" s="27"/>
      <c r="AD952" s="31"/>
      <c r="AE952" s="32" t="str">
        <f t="shared" si="72"/>
        <v/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3164</v>
      </c>
      <c r="C953" s="25" t="s">
        <v>3165</v>
      </c>
      <c r="D953" s="23" t="s">
        <v>2237</v>
      </c>
      <c r="E953" s="43">
        <v>46126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43">
        <v>46193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30"/>
      <c r="X953" s="30"/>
      <c r="Y953" s="30"/>
      <c r="Z953" s="30"/>
      <c r="AA953" s="30"/>
      <c r="AB953" s="30"/>
      <c r="AC953" s="27"/>
      <c r="AD953" s="31"/>
      <c r="AE953" s="32" t="str">
        <f t="shared" si="72"/>
        <v/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3166</v>
      </c>
      <c r="C954" s="41" t="s">
        <v>3167</v>
      </c>
      <c r="D954" s="39" t="s">
        <v>2237</v>
      </c>
      <c r="E954" s="43">
        <v>46126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43">
        <v>46193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30"/>
      <c r="X954" s="30"/>
      <c r="Y954" s="30"/>
      <c r="Z954" s="30"/>
      <c r="AA954" s="30"/>
      <c r="AB954" s="30"/>
      <c r="AC954" s="27"/>
      <c r="AD954" s="31"/>
      <c r="AE954" s="32" t="str">
        <f t="shared" si="72"/>
        <v/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3168</v>
      </c>
      <c r="C955" s="25" t="s">
        <v>3169</v>
      </c>
      <c r="D955" s="23" t="s">
        <v>2237</v>
      </c>
      <c r="E955" s="43">
        <v>46126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43">
        <v>46193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30"/>
      <c r="X955" s="30"/>
      <c r="Y955" s="30"/>
      <c r="Z955" s="30"/>
      <c r="AA955" s="30"/>
      <c r="AB955" s="30"/>
      <c r="AC955" s="27"/>
      <c r="AD955" s="31"/>
      <c r="AE955" s="32" t="str">
        <f t="shared" si="72"/>
        <v/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3170</v>
      </c>
      <c r="C956" s="41" t="s">
        <v>3171</v>
      </c>
      <c r="D956" s="39" t="s">
        <v>2237</v>
      </c>
      <c r="E956" s="43">
        <v>46126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43">
        <v>46193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30"/>
      <c r="X956" s="30"/>
      <c r="Y956" s="30"/>
      <c r="Z956" s="30"/>
      <c r="AA956" s="30"/>
      <c r="AB956" s="30"/>
      <c r="AC956" s="27"/>
      <c r="AD956" s="31"/>
      <c r="AE956" s="32" t="str">
        <f t="shared" si="72"/>
        <v/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3172</v>
      </c>
      <c r="C957" s="25" t="s">
        <v>3173</v>
      </c>
      <c r="D957" s="23" t="s">
        <v>2237</v>
      </c>
      <c r="E957" s="43">
        <v>46126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43">
        <v>46193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30"/>
      <c r="X957" s="30"/>
      <c r="Y957" s="30"/>
      <c r="Z957" s="30"/>
      <c r="AA957" s="30"/>
      <c r="AB957" s="30"/>
      <c r="AC957" s="27"/>
      <c r="AD957" s="31"/>
      <c r="AE957" s="32" t="str">
        <f t="shared" si="72"/>
        <v/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3174</v>
      </c>
      <c r="C958" s="41" t="s">
        <v>3175</v>
      </c>
      <c r="D958" s="39" t="s">
        <v>2237</v>
      </c>
      <c r="E958" s="43">
        <v>46126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43">
        <v>46193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30"/>
      <c r="X958" s="30"/>
      <c r="Y958" s="30"/>
      <c r="Z958" s="30"/>
      <c r="AA958" s="30"/>
      <c r="AB958" s="30"/>
      <c r="AC958" s="27"/>
      <c r="AD958" s="31"/>
      <c r="AE958" s="32" t="str">
        <f t="shared" si="72"/>
        <v/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3176</v>
      </c>
      <c r="C959" s="25" t="s">
        <v>3177</v>
      </c>
      <c r="D959" s="23" t="s">
        <v>2237</v>
      </c>
      <c r="E959" s="43">
        <v>46126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43">
        <v>46193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30"/>
      <c r="X959" s="30"/>
      <c r="Y959" s="30"/>
      <c r="Z959" s="30"/>
      <c r="AA959" s="30"/>
      <c r="AB959" s="30"/>
      <c r="AC959" s="27"/>
      <c r="AD959" s="31"/>
      <c r="AE959" s="32" t="str">
        <f t="shared" si="72"/>
        <v/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3178</v>
      </c>
      <c r="C960" s="41" t="s">
        <v>3179</v>
      </c>
      <c r="D960" s="39" t="s">
        <v>2237</v>
      </c>
      <c r="E960" s="43">
        <v>46126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43">
        <v>46193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30"/>
      <c r="X960" s="30"/>
      <c r="Y960" s="30"/>
      <c r="Z960" s="30"/>
      <c r="AA960" s="30"/>
      <c r="AB960" s="30"/>
      <c r="AC960" s="27"/>
      <c r="AD960" s="31"/>
      <c r="AE960" s="32" t="str">
        <f t="shared" si="72"/>
        <v/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3180</v>
      </c>
      <c r="C961" s="25" t="s">
        <v>3181</v>
      </c>
      <c r="D961" s="23" t="s">
        <v>2237</v>
      </c>
      <c r="E961" s="43">
        <v>46126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43">
        <v>46193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30"/>
      <c r="X961" s="30"/>
      <c r="Y961" s="30"/>
      <c r="Z961" s="30"/>
      <c r="AA961" s="30"/>
      <c r="AB961" s="30"/>
      <c r="AC961" s="27"/>
      <c r="AD961" s="31"/>
      <c r="AE961" s="32" t="str">
        <f t="shared" si="72"/>
        <v/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3182</v>
      </c>
      <c r="C962" s="41" t="s">
        <v>3183</v>
      </c>
      <c r="D962" s="39" t="s">
        <v>2237</v>
      </c>
      <c r="E962" s="43">
        <v>46126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43">
        <v>46193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30"/>
      <c r="X962" s="30"/>
      <c r="Y962" s="30"/>
      <c r="Z962" s="30"/>
      <c r="AA962" s="30"/>
      <c r="AB962" s="30"/>
      <c r="AC962" s="27"/>
      <c r="AD962" s="31"/>
      <c r="AE962" s="32" t="str">
        <f t="shared" si="72"/>
        <v/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3184</v>
      </c>
      <c r="C963" s="25" t="s">
        <v>3185</v>
      </c>
      <c r="D963" s="23" t="s">
        <v>2237</v>
      </c>
      <c r="E963" s="43">
        <v>46126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43">
        <v>46193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30"/>
      <c r="X963" s="30"/>
      <c r="Y963" s="30"/>
      <c r="Z963" s="30"/>
      <c r="AA963" s="30"/>
      <c r="AB963" s="30"/>
      <c r="AC963" s="27"/>
      <c r="AD963" s="31"/>
      <c r="AE963" s="32" t="str">
        <f t="shared" si="72"/>
        <v/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3186</v>
      </c>
      <c r="C964" s="41" t="s">
        <v>3187</v>
      </c>
      <c r="D964" s="39" t="s">
        <v>2237</v>
      </c>
      <c r="E964" s="43">
        <v>46126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43">
        <v>46193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30"/>
      <c r="X964" s="30"/>
      <c r="Y964" s="30"/>
      <c r="Z964" s="30"/>
      <c r="AA964" s="30"/>
      <c r="AB964" s="30"/>
      <c r="AC964" s="27"/>
      <c r="AD964" s="31"/>
      <c r="AE964" s="32" t="str">
        <f t="shared" si="72"/>
        <v/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3188</v>
      </c>
      <c r="C965" s="25" t="s">
        <v>3189</v>
      </c>
      <c r="D965" s="23" t="s">
        <v>2237</v>
      </c>
      <c r="E965" s="43">
        <v>46126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43">
        <v>46193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30"/>
      <c r="X965" s="30"/>
      <c r="Y965" s="30"/>
      <c r="Z965" s="30"/>
      <c r="AA965" s="30"/>
      <c r="AB965" s="30"/>
      <c r="AC965" s="27"/>
      <c r="AD965" s="31"/>
      <c r="AE965" s="32" t="str">
        <f t="shared" ref="AE965:AE1028" si="77">IF(W965="","",IF(Z965="Yes","❌ Disc",IF(Y965="No","⚠ Missing",IF(AB965="Yes","✓ OK","⚠ Check"))))</f>
        <v/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3190</v>
      </c>
      <c r="C966" s="41" t="s">
        <v>3191</v>
      </c>
      <c r="D966" s="39" t="s">
        <v>2237</v>
      </c>
      <c r="E966" s="43">
        <v>46126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43">
        <v>46193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30"/>
      <c r="X966" s="30"/>
      <c r="Y966" s="30"/>
      <c r="Z966" s="30"/>
      <c r="AA966" s="30"/>
      <c r="AB966" s="30"/>
      <c r="AC966" s="27"/>
      <c r="AD966" s="31"/>
      <c r="AE966" s="32" t="str">
        <f t="shared" si="77"/>
        <v/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3192</v>
      </c>
      <c r="C967" s="25" t="s">
        <v>3193</v>
      </c>
      <c r="D967" s="23" t="s">
        <v>2237</v>
      </c>
      <c r="E967" s="43">
        <v>46126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43">
        <v>46193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30"/>
      <c r="X967" s="30"/>
      <c r="Y967" s="30"/>
      <c r="Z967" s="30"/>
      <c r="AA967" s="30"/>
      <c r="AB967" s="30"/>
      <c r="AC967" s="27"/>
      <c r="AD967" s="31"/>
      <c r="AE967" s="32" t="str">
        <f t="shared" si="77"/>
        <v/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3194</v>
      </c>
      <c r="C968" s="41" t="s">
        <v>3195</v>
      </c>
      <c r="D968" s="39" t="s">
        <v>2237</v>
      </c>
      <c r="E968" s="43">
        <v>46126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43">
        <v>46193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30"/>
      <c r="X968" s="30"/>
      <c r="Y968" s="30"/>
      <c r="Z968" s="30"/>
      <c r="AA968" s="30"/>
      <c r="AB968" s="30"/>
      <c r="AC968" s="27"/>
      <c r="AD968" s="31"/>
      <c r="AE968" s="32" t="str">
        <f t="shared" si="77"/>
        <v/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3196</v>
      </c>
      <c r="C969" s="25" t="s">
        <v>3197</v>
      </c>
      <c r="D969" s="23" t="s">
        <v>2237</v>
      </c>
      <c r="E969" s="43">
        <v>46126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43">
        <v>46193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30"/>
      <c r="X969" s="30"/>
      <c r="Y969" s="30"/>
      <c r="Z969" s="30"/>
      <c r="AA969" s="30"/>
      <c r="AB969" s="30"/>
      <c r="AC969" s="27"/>
      <c r="AD969" s="31"/>
      <c r="AE969" s="32" t="str">
        <f t="shared" si="77"/>
        <v/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3198</v>
      </c>
      <c r="C970" s="41" t="s">
        <v>3199</v>
      </c>
      <c r="D970" s="39" t="s">
        <v>2237</v>
      </c>
      <c r="E970" s="43">
        <v>46126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43">
        <v>46193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30"/>
      <c r="X970" s="30"/>
      <c r="Y970" s="30"/>
      <c r="Z970" s="30"/>
      <c r="AA970" s="30"/>
      <c r="AB970" s="30"/>
      <c r="AC970" s="27"/>
      <c r="AD970" s="31"/>
      <c r="AE970" s="32" t="str">
        <f t="shared" si="77"/>
        <v/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3200</v>
      </c>
      <c r="C971" s="25" t="s">
        <v>3201</v>
      </c>
      <c r="D971" s="23" t="s">
        <v>2237</v>
      </c>
      <c r="E971" s="43">
        <v>46126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43">
        <v>46193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30"/>
      <c r="X971" s="30"/>
      <c r="Y971" s="30"/>
      <c r="Z971" s="30"/>
      <c r="AA971" s="30"/>
      <c r="AB971" s="30"/>
      <c r="AC971" s="27"/>
      <c r="AD971" s="31"/>
      <c r="AE971" s="32" t="str">
        <f t="shared" si="77"/>
        <v/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3202</v>
      </c>
      <c r="C972" s="41" t="s">
        <v>3203</v>
      </c>
      <c r="D972" s="39" t="s">
        <v>2237</v>
      </c>
      <c r="E972" s="43">
        <v>46126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43">
        <v>46193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30"/>
      <c r="X972" s="30"/>
      <c r="Y972" s="30"/>
      <c r="Z972" s="30"/>
      <c r="AA972" s="30"/>
      <c r="AB972" s="30"/>
      <c r="AC972" s="27"/>
      <c r="AD972" s="31"/>
      <c r="AE972" s="32" t="str">
        <f t="shared" si="77"/>
        <v/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3204</v>
      </c>
      <c r="C973" s="25" t="s">
        <v>3205</v>
      </c>
      <c r="D973" s="23" t="s">
        <v>2237</v>
      </c>
      <c r="E973" s="43">
        <v>46126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43">
        <v>46193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30"/>
      <c r="X973" s="30"/>
      <c r="Y973" s="30"/>
      <c r="Z973" s="30"/>
      <c r="AA973" s="30"/>
      <c r="AB973" s="30"/>
      <c r="AC973" s="27"/>
      <c r="AD973" s="31"/>
      <c r="AE973" s="32" t="str">
        <f t="shared" si="77"/>
        <v/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3206</v>
      </c>
      <c r="C974" s="41" t="s">
        <v>3207</v>
      </c>
      <c r="D974" s="39" t="s">
        <v>2237</v>
      </c>
      <c r="E974" s="43">
        <v>46126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43">
        <v>46193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30"/>
      <c r="X974" s="30"/>
      <c r="Y974" s="30"/>
      <c r="Z974" s="30"/>
      <c r="AA974" s="30"/>
      <c r="AB974" s="30"/>
      <c r="AC974" s="27"/>
      <c r="AD974" s="31"/>
      <c r="AE974" s="32" t="str">
        <f t="shared" si="77"/>
        <v/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3208</v>
      </c>
      <c r="C975" s="25" t="s">
        <v>3209</v>
      </c>
      <c r="D975" s="23" t="s">
        <v>2237</v>
      </c>
      <c r="E975" s="43">
        <v>46126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43">
        <v>46193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30"/>
      <c r="X975" s="30"/>
      <c r="Y975" s="30"/>
      <c r="Z975" s="30"/>
      <c r="AA975" s="30"/>
      <c r="AB975" s="30"/>
      <c r="AC975" s="27"/>
      <c r="AD975" s="31"/>
      <c r="AE975" s="32" t="str">
        <f t="shared" si="77"/>
        <v/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3210</v>
      </c>
      <c r="C976" s="41" t="s">
        <v>3211</v>
      </c>
      <c r="D976" s="39" t="s">
        <v>2237</v>
      </c>
      <c r="E976" s="43">
        <v>46126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43">
        <v>46193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30"/>
      <c r="X976" s="30"/>
      <c r="Y976" s="30"/>
      <c r="Z976" s="30"/>
      <c r="AA976" s="30"/>
      <c r="AB976" s="30"/>
      <c r="AC976" s="27"/>
      <c r="AD976" s="31"/>
      <c r="AE976" s="32" t="str">
        <f t="shared" si="77"/>
        <v/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3212</v>
      </c>
      <c r="C977" s="25" t="s">
        <v>3213</v>
      </c>
      <c r="D977" s="23" t="s">
        <v>2237</v>
      </c>
      <c r="E977" s="43">
        <v>46126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43">
        <v>46193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30"/>
      <c r="X977" s="30"/>
      <c r="Y977" s="30"/>
      <c r="Z977" s="30"/>
      <c r="AA977" s="30"/>
      <c r="AB977" s="30"/>
      <c r="AC977" s="27"/>
      <c r="AD977" s="31"/>
      <c r="AE977" s="32" t="str">
        <f t="shared" si="77"/>
        <v/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3214</v>
      </c>
      <c r="C978" s="41" t="s">
        <v>3215</v>
      </c>
      <c r="D978" s="39" t="s">
        <v>2237</v>
      </c>
      <c r="E978" s="43">
        <v>46126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43">
        <v>46193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30"/>
      <c r="X978" s="30"/>
      <c r="Y978" s="30"/>
      <c r="Z978" s="30"/>
      <c r="AA978" s="30"/>
      <c r="AB978" s="30"/>
      <c r="AC978" s="27"/>
      <c r="AD978" s="31"/>
      <c r="AE978" s="32" t="str">
        <f t="shared" si="77"/>
        <v/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3216</v>
      </c>
      <c r="C979" s="25" t="s">
        <v>3217</v>
      </c>
      <c r="D979" s="23" t="s">
        <v>2237</v>
      </c>
      <c r="E979" s="43">
        <v>46126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43">
        <v>46193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30"/>
      <c r="X979" s="30"/>
      <c r="Y979" s="30"/>
      <c r="Z979" s="30"/>
      <c r="AA979" s="30"/>
      <c r="AB979" s="30"/>
      <c r="AC979" s="27"/>
      <c r="AD979" s="31"/>
      <c r="AE979" s="32" t="str">
        <f t="shared" si="77"/>
        <v/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3218</v>
      </c>
      <c r="C980" s="41" t="s">
        <v>3219</v>
      </c>
      <c r="D980" s="39" t="s">
        <v>2237</v>
      </c>
      <c r="E980" s="43">
        <v>46126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43">
        <v>46193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30"/>
      <c r="X980" s="30"/>
      <c r="Y980" s="30"/>
      <c r="Z980" s="30"/>
      <c r="AA980" s="30"/>
      <c r="AB980" s="30"/>
      <c r="AC980" s="27"/>
      <c r="AD980" s="31"/>
      <c r="AE980" s="32" t="str">
        <f t="shared" si="77"/>
        <v/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3220</v>
      </c>
      <c r="C981" s="25" t="s">
        <v>3221</v>
      </c>
      <c r="D981" s="23" t="s">
        <v>2237</v>
      </c>
      <c r="E981" s="43">
        <v>46126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43">
        <v>46193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30"/>
      <c r="X981" s="30"/>
      <c r="Y981" s="30"/>
      <c r="Z981" s="30"/>
      <c r="AA981" s="30"/>
      <c r="AB981" s="30"/>
      <c r="AC981" s="27"/>
      <c r="AD981" s="31"/>
      <c r="AE981" s="32" t="str">
        <f t="shared" si="77"/>
        <v/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3222</v>
      </c>
      <c r="C982" s="41" t="s">
        <v>3223</v>
      </c>
      <c r="D982" s="39" t="s">
        <v>2237</v>
      </c>
      <c r="E982" s="43">
        <v>46126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43">
        <v>46193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30"/>
      <c r="X982" s="30"/>
      <c r="Y982" s="30"/>
      <c r="Z982" s="30"/>
      <c r="AA982" s="30"/>
      <c r="AB982" s="30"/>
      <c r="AC982" s="27"/>
      <c r="AD982" s="31"/>
      <c r="AE982" s="32" t="str">
        <f t="shared" si="77"/>
        <v/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3224</v>
      </c>
      <c r="C983" s="25" t="s">
        <v>3225</v>
      </c>
      <c r="D983" s="23" t="s">
        <v>2237</v>
      </c>
      <c r="E983" s="43">
        <v>46126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43">
        <v>46193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30"/>
      <c r="X983" s="30"/>
      <c r="Y983" s="30"/>
      <c r="Z983" s="30"/>
      <c r="AA983" s="30"/>
      <c r="AB983" s="30"/>
      <c r="AC983" s="27"/>
      <c r="AD983" s="31"/>
      <c r="AE983" s="32" t="str">
        <f t="shared" si="77"/>
        <v/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3226</v>
      </c>
      <c r="C984" s="41" t="s">
        <v>3227</v>
      </c>
      <c r="D984" s="39" t="s">
        <v>2237</v>
      </c>
      <c r="E984" s="43">
        <v>46126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43">
        <v>46193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30"/>
      <c r="X984" s="30"/>
      <c r="Y984" s="30"/>
      <c r="Z984" s="30"/>
      <c r="AA984" s="30"/>
      <c r="AB984" s="30"/>
      <c r="AC984" s="27"/>
      <c r="AD984" s="31"/>
      <c r="AE984" s="32" t="str">
        <f t="shared" si="77"/>
        <v/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3228</v>
      </c>
      <c r="C985" s="25" t="s">
        <v>3229</v>
      </c>
      <c r="D985" s="23" t="s">
        <v>2237</v>
      </c>
      <c r="E985" s="43">
        <v>46126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43">
        <v>46193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30"/>
      <c r="X985" s="30"/>
      <c r="Y985" s="30"/>
      <c r="Z985" s="30"/>
      <c r="AA985" s="30"/>
      <c r="AB985" s="30"/>
      <c r="AC985" s="27"/>
      <c r="AD985" s="31"/>
      <c r="AE985" s="32" t="str">
        <f t="shared" si="77"/>
        <v/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3230</v>
      </c>
      <c r="C986" s="41" t="s">
        <v>3231</v>
      </c>
      <c r="D986" s="39" t="s">
        <v>2237</v>
      </c>
      <c r="E986" s="43">
        <v>46126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43">
        <v>46193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30"/>
      <c r="X986" s="30"/>
      <c r="Y986" s="30"/>
      <c r="Z986" s="30"/>
      <c r="AA986" s="30"/>
      <c r="AB986" s="30"/>
      <c r="AC986" s="27"/>
      <c r="AD986" s="31"/>
      <c r="AE986" s="32" t="str">
        <f t="shared" si="77"/>
        <v/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3232</v>
      </c>
      <c r="C987" s="25" t="s">
        <v>3233</v>
      </c>
      <c r="D987" s="23" t="s">
        <v>2237</v>
      </c>
      <c r="E987" s="43">
        <v>46126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43">
        <v>46193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30"/>
      <c r="X987" s="30"/>
      <c r="Y987" s="30"/>
      <c r="Z987" s="30"/>
      <c r="AA987" s="30"/>
      <c r="AB987" s="30"/>
      <c r="AC987" s="27"/>
      <c r="AD987" s="31"/>
      <c r="AE987" s="32" t="str">
        <f t="shared" si="77"/>
        <v/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3234</v>
      </c>
      <c r="C988" s="41" t="s">
        <v>3235</v>
      </c>
      <c r="D988" s="39" t="s">
        <v>2237</v>
      </c>
      <c r="E988" s="43">
        <v>46126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43">
        <v>46193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30"/>
      <c r="X988" s="30"/>
      <c r="Y988" s="30"/>
      <c r="Z988" s="30"/>
      <c r="AA988" s="30"/>
      <c r="AB988" s="30"/>
      <c r="AC988" s="27"/>
      <c r="AD988" s="31"/>
      <c r="AE988" s="32" t="str">
        <f t="shared" si="77"/>
        <v/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3236</v>
      </c>
      <c r="C989" s="25" t="s">
        <v>3237</v>
      </c>
      <c r="D989" s="23" t="s">
        <v>2237</v>
      </c>
      <c r="E989" s="43">
        <v>46126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43">
        <v>46193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30"/>
      <c r="X989" s="30"/>
      <c r="Y989" s="30"/>
      <c r="Z989" s="30"/>
      <c r="AA989" s="30"/>
      <c r="AB989" s="30"/>
      <c r="AC989" s="27"/>
      <c r="AD989" s="31"/>
      <c r="AE989" s="32" t="str">
        <f t="shared" si="77"/>
        <v/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3238</v>
      </c>
      <c r="C990" s="41" t="s">
        <v>3239</v>
      </c>
      <c r="D990" s="39" t="s">
        <v>2237</v>
      </c>
      <c r="E990" s="43">
        <v>46126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43">
        <v>46193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30"/>
      <c r="X990" s="30"/>
      <c r="Y990" s="30"/>
      <c r="Z990" s="30"/>
      <c r="AA990" s="30"/>
      <c r="AB990" s="30"/>
      <c r="AC990" s="27"/>
      <c r="AD990" s="31"/>
      <c r="AE990" s="32" t="str">
        <f t="shared" si="77"/>
        <v/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3240</v>
      </c>
      <c r="C991" s="25" t="s">
        <v>3241</v>
      </c>
      <c r="D991" s="23" t="s">
        <v>2237</v>
      </c>
      <c r="E991" s="43">
        <v>46126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43">
        <v>46193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30"/>
      <c r="X991" s="30"/>
      <c r="Y991" s="30"/>
      <c r="Z991" s="30"/>
      <c r="AA991" s="30"/>
      <c r="AB991" s="30"/>
      <c r="AC991" s="27"/>
      <c r="AD991" s="31"/>
      <c r="AE991" s="32" t="str">
        <f t="shared" si="77"/>
        <v/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3242</v>
      </c>
      <c r="C992" s="41" t="s">
        <v>3243</v>
      </c>
      <c r="D992" s="39" t="s">
        <v>2237</v>
      </c>
      <c r="E992" s="43">
        <v>46126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43">
        <v>46193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30"/>
      <c r="X992" s="30"/>
      <c r="Y992" s="30"/>
      <c r="Z992" s="30"/>
      <c r="AA992" s="30"/>
      <c r="AB992" s="30"/>
      <c r="AC992" s="27"/>
      <c r="AD992" s="31"/>
      <c r="AE992" s="32" t="str">
        <f t="shared" si="77"/>
        <v/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3244</v>
      </c>
      <c r="C993" s="25" t="s">
        <v>3245</v>
      </c>
      <c r="D993" s="23" t="s">
        <v>2237</v>
      </c>
      <c r="E993" s="43">
        <v>46126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43">
        <v>46193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30"/>
      <c r="X993" s="30"/>
      <c r="Y993" s="30"/>
      <c r="Z993" s="30"/>
      <c r="AA993" s="30"/>
      <c r="AB993" s="30"/>
      <c r="AC993" s="27"/>
      <c r="AD993" s="31"/>
      <c r="AE993" s="32" t="str">
        <f t="shared" si="77"/>
        <v/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3246</v>
      </c>
      <c r="C994" s="41" t="s">
        <v>3247</v>
      </c>
      <c r="D994" s="39" t="s">
        <v>2237</v>
      </c>
      <c r="E994" s="43">
        <v>46126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43">
        <v>46193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30"/>
      <c r="X994" s="30"/>
      <c r="Y994" s="30"/>
      <c r="Z994" s="30"/>
      <c r="AA994" s="30"/>
      <c r="AB994" s="30"/>
      <c r="AC994" s="27"/>
      <c r="AD994" s="31"/>
      <c r="AE994" s="32" t="str">
        <f t="shared" si="77"/>
        <v/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3248</v>
      </c>
      <c r="C995" s="25" t="s">
        <v>3249</v>
      </c>
      <c r="D995" s="23" t="s">
        <v>2237</v>
      </c>
      <c r="E995" s="43">
        <v>46126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43">
        <v>46193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30"/>
      <c r="X995" s="30"/>
      <c r="Y995" s="30"/>
      <c r="Z995" s="30"/>
      <c r="AA995" s="30"/>
      <c r="AB995" s="30"/>
      <c r="AC995" s="27"/>
      <c r="AD995" s="31"/>
      <c r="AE995" s="32" t="str">
        <f t="shared" si="77"/>
        <v/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3250</v>
      </c>
      <c r="C996" s="41" t="s">
        <v>3251</v>
      </c>
      <c r="D996" s="39" t="s">
        <v>2237</v>
      </c>
      <c r="E996" s="43">
        <v>46126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43">
        <v>46193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30"/>
      <c r="X996" s="30"/>
      <c r="Y996" s="30"/>
      <c r="Z996" s="30"/>
      <c r="AA996" s="30"/>
      <c r="AB996" s="30"/>
      <c r="AC996" s="27"/>
      <c r="AD996" s="31"/>
      <c r="AE996" s="32" t="str">
        <f t="shared" si="77"/>
        <v/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3252</v>
      </c>
      <c r="C997" s="25" t="s">
        <v>3253</v>
      </c>
      <c r="D997" s="23" t="s">
        <v>2237</v>
      </c>
      <c r="E997" s="43">
        <v>46126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43">
        <v>46193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30"/>
      <c r="X997" s="30"/>
      <c r="Y997" s="30"/>
      <c r="Z997" s="30"/>
      <c r="AA997" s="30"/>
      <c r="AB997" s="30"/>
      <c r="AC997" s="27"/>
      <c r="AD997" s="31"/>
      <c r="AE997" s="32" t="str">
        <f t="shared" si="77"/>
        <v/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3254</v>
      </c>
      <c r="C998" s="41" t="s">
        <v>3255</v>
      </c>
      <c r="D998" s="39" t="s">
        <v>2237</v>
      </c>
      <c r="E998" s="43">
        <v>46126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43">
        <v>46193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30"/>
      <c r="X998" s="30"/>
      <c r="Y998" s="30"/>
      <c r="Z998" s="30"/>
      <c r="AA998" s="30"/>
      <c r="AB998" s="30"/>
      <c r="AC998" s="27"/>
      <c r="AD998" s="31"/>
      <c r="AE998" s="32" t="str">
        <f t="shared" si="77"/>
        <v/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3256</v>
      </c>
      <c r="C999" s="25" t="s">
        <v>3257</v>
      </c>
      <c r="D999" s="23" t="s">
        <v>2237</v>
      </c>
      <c r="E999" s="43">
        <v>46126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43">
        <v>46193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30"/>
      <c r="X999" s="30"/>
      <c r="Y999" s="30"/>
      <c r="Z999" s="30"/>
      <c r="AA999" s="30"/>
      <c r="AB999" s="30"/>
      <c r="AC999" s="27"/>
      <c r="AD999" s="31"/>
      <c r="AE999" s="32" t="str">
        <f t="shared" si="77"/>
        <v/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3258</v>
      </c>
      <c r="C1000" s="41" t="s">
        <v>3259</v>
      </c>
      <c r="D1000" s="39" t="s">
        <v>2237</v>
      </c>
      <c r="E1000" s="43">
        <v>46126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43">
        <v>46193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30"/>
      <c r="X1000" s="30"/>
      <c r="Y1000" s="30"/>
      <c r="Z1000" s="30"/>
      <c r="AA1000" s="30"/>
      <c r="AB1000" s="30"/>
      <c r="AC1000" s="27"/>
      <c r="AD1000" s="31"/>
      <c r="AE1000" s="32" t="str">
        <f t="shared" si="77"/>
        <v/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3260</v>
      </c>
      <c r="C1001" s="25" t="s">
        <v>3261</v>
      </c>
      <c r="D1001" s="23" t="s">
        <v>2237</v>
      </c>
      <c r="E1001" s="43">
        <v>46126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43">
        <v>46193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30"/>
      <c r="X1001" s="30"/>
      <c r="Y1001" s="30"/>
      <c r="Z1001" s="30"/>
      <c r="AA1001" s="30"/>
      <c r="AB1001" s="30"/>
      <c r="AC1001" s="27"/>
      <c r="AD1001" s="31"/>
      <c r="AE1001" s="32" t="str">
        <f t="shared" si="77"/>
        <v/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3262</v>
      </c>
      <c r="C1002" s="41" t="s">
        <v>3263</v>
      </c>
      <c r="D1002" s="39" t="s">
        <v>2237</v>
      </c>
      <c r="E1002" s="43">
        <v>46126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43">
        <v>46193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30"/>
      <c r="X1002" s="30"/>
      <c r="Y1002" s="30"/>
      <c r="Z1002" s="30"/>
      <c r="AA1002" s="30"/>
      <c r="AB1002" s="30"/>
      <c r="AC1002" s="27"/>
      <c r="AD1002" s="31"/>
      <c r="AE1002" s="32" t="str">
        <f t="shared" si="77"/>
        <v/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3264</v>
      </c>
      <c r="C1003" s="25" t="s">
        <v>3265</v>
      </c>
      <c r="D1003" s="23" t="s">
        <v>2237</v>
      </c>
      <c r="E1003" s="43">
        <v>46126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43">
        <v>46193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30"/>
      <c r="X1003" s="30"/>
      <c r="Y1003" s="30"/>
      <c r="Z1003" s="30"/>
      <c r="AA1003" s="30"/>
      <c r="AB1003" s="30"/>
      <c r="AC1003" s="27"/>
      <c r="AD1003" s="31"/>
      <c r="AE1003" s="32" t="str">
        <f t="shared" si="77"/>
        <v/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3266</v>
      </c>
      <c r="C1004" s="41" t="s">
        <v>3267</v>
      </c>
      <c r="D1004" s="39" t="s">
        <v>2237</v>
      </c>
      <c r="E1004" s="43">
        <v>46126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43">
        <v>46193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30"/>
      <c r="X1004" s="30"/>
      <c r="Y1004" s="30"/>
      <c r="Z1004" s="30"/>
      <c r="AA1004" s="30"/>
      <c r="AB1004" s="30"/>
      <c r="AC1004" s="27"/>
      <c r="AD1004" s="31"/>
      <c r="AE1004" s="32" t="str">
        <f t="shared" si="77"/>
        <v/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3268</v>
      </c>
      <c r="C1005" s="25" t="s">
        <v>3269</v>
      </c>
      <c r="D1005" s="23" t="s">
        <v>2237</v>
      </c>
      <c r="E1005" s="43">
        <v>46126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43">
        <v>46193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30"/>
      <c r="X1005" s="30"/>
      <c r="Y1005" s="30"/>
      <c r="Z1005" s="30"/>
      <c r="AA1005" s="30"/>
      <c r="AB1005" s="30"/>
      <c r="AC1005" s="27"/>
      <c r="AD1005" s="31"/>
      <c r="AE1005" s="32" t="str">
        <f t="shared" si="77"/>
        <v/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3270</v>
      </c>
      <c r="C1006" s="41" t="s">
        <v>3271</v>
      </c>
      <c r="D1006" s="39" t="s">
        <v>2237</v>
      </c>
      <c r="E1006" s="43">
        <v>46126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43">
        <v>46193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30"/>
      <c r="X1006" s="30"/>
      <c r="Y1006" s="30"/>
      <c r="Z1006" s="30"/>
      <c r="AA1006" s="30"/>
      <c r="AB1006" s="30"/>
      <c r="AC1006" s="27"/>
      <c r="AD1006" s="31"/>
      <c r="AE1006" s="32" t="str">
        <f t="shared" si="77"/>
        <v/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3272</v>
      </c>
      <c r="C1007" s="25" t="s">
        <v>3273</v>
      </c>
      <c r="D1007" s="23" t="s">
        <v>2237</v>
      </c>
      <c r="E1007" s="43">
        <v>46126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43">
        <v>46193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30"/>
      <c r="X1007" s="30"/>
      <c r="Y1007" s="30"/>
      <c r="Z1007" s="30"/>
      <c r="AA1007" s="30"/>
      <c r="AB1007" s="30"/>
      <c r="AC1007" s="27"/>
      <c r="AD1007" s="31"/>
      <c r="AE1007" s="32" t="str">
        <f t="shared" si="77"/>
        <v/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3274</v>
      </c>
      <c r="C1008" s="41" t="s">
        <v>3275</v>
      </c>
      <c r="D1008" s="39" t="s">
        <v>2237</v>
      </c>
      <c r="E1008" s="43">
        <v>46126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43">
        <v>46193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30"/>
      <c r="X1008" s="30"/>
      <c r="Y1008" s="30"/>
      <c r="Z1008" s="30"/>
      <c r="AA1008" s="30"/>
      <c r="AB1008" s="30"/>
      <c r="AC1008" s="27"/>
      <c r="AD1008" s="31"/>
      <c r="AE1008" s="32" t="str">
        <f t="shared" si="77"/>
        <v/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3276</v>
      </c>
      <c r="C1009" s="25" t="s">
        <v>3277</v>
      </c>
      <c r="D1009" s="23" t="s">
        <v>2237</v>
      </c>
      <c r="E1009" s="43">
        <v>46126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43">
        <v>46193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30"/>
      <c r="X1009" s="30"/>
      <c r="Y1009" s="30"/>
      <c r="Z1009" s="30"/>
      <c r="AA1009" s="30"/>
      <c r="AB1009" s="30"/>
      <c r="AC1009" s="27"/>
      <c r="AD1009" s="31"/>
      <c r="AE1009" s="32" t="str">
        <f t="shared" si="77"/>
        <v/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3278</v>
      </c>
      <c r="C1010" s="41" t="s">
        <v>3279</v>
      </c>
      <c r="D1010" s="39" t="s">
        <v>2237</v>
      </c>
      <c r="E1010" s="43">
        <v>46126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43">
        <v>46193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30"/>
      <c r="X1010" s="30"/>
      <c r="Y1010" s="30"/>
      <c r="Z1010" s="30"/>
      <c r="AA1010" s="30"/>
      <c r="AB1010" s="30"/>
      <c r="AC1010" s="27"/>
      <c r="AD1010" s="31"/>
      <c r="AE1010" s="32" t="str">
        <f t="shared" si="77"/>
        <v/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3280</v>
      </c>
      <c r="C1011" s="25" t="s">
        <v>3281</v>
      </c>
      <c r="D1011" s="23" t="s">
        <v>2237</v>
      </c>
      <c r="E1011" s="43">
        <v>46126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43">
        <v>46193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30"/>
      <c r="X1011" s="30"/>
      <c r="Y1011" s="30"/>
      <c r="Z1011" s="30"/>
      <c r="AA1011" s="30"/>
      <c r="AB1011" s="30"/>
      <c r="AC1011" s="27"/>
      <c r="AD1011" s="31"/>
      <c r="AE1011" s="32" t="str">
        <f t="shared" si="77"/>
        <v/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3282</v>
      </c>
      <c r="C1012" s="41" t="s">
        <v>3283</v>
      </c>
      <c r="D1012" s="39" t="s">
        <v>2237</v>
      </c>
      <c r="E1012" s="43">
        <v>46126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43">
        <v>46193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30"/>
      <c r="X1012" s="30"/>
      <c r="Y1012" s="30"/>
      <c r="Z1012" s="30"/>
      <c r="AA1012" s="30"/>
      <c r="AB1012" s="30"/>
      <c r="AC1012" s="27"/>
      <c r="AD1012" s="31"/>
      <c r="AE1012" s="32" t="str">
        <f t="shared" si="77"/>
        <v/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3284</v>
      </c>
      <c r="C1013" s="25" t="s">
        <v>3285</v>
      </c>
      <c r="D1013" s="23" t="s">
        <v>2237</v>
      </c>
      <c r="E1013" s="43">
        <v>46126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43">
        <v>46193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30"/>
      <c r="X1013" s="30"/>
      <c r="Y1013" s="30"/>
      <c r="Z1013" s="30"/>
      <c r="AA1013" s="30"/>
      <c r="AB1013" s="30"/>
      <c r="AC1013" s="27"/>
      <c r="AD1013" s="31"/>
      <c r="AE1013" s="32" t="str">
        <f t="shared" si="77"/>
        <v/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3286</v>
      </c>
      <c r="C1014" s="41" t="s">
        <v>3287</v>
      </c>
      <c r="D1014" s="39" t="s">
        <v>2237</v>
      </c>
      <c r="E1014" s="43">
        <v>46126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43">
        <v>46193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30"/>
      <c r="X1014" s="30"/>
      <c r="Y1014" s="30"/>
      <c r="Z1014" s="30"/>
      <c r="AA1014" s="30"/>
      <c r="AB1014" s="30"/>
      <c r="AC1014" s="27"/>
      <c r="AD1014" s="31"/>
      <c r="AE1014" s="32" t="str">
        <f t="shared" si="77"/>
        <v/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3288</v>
      </c>
      <c r="C1015" s="25" t="s">
        <v>3289</v>
      </c>
      <c r="D1015" s="23" t="s">
        <v>2237</v>
      </c>
      <c r="E1015" s="43">
        <v>46126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43">
        <v>46193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30"/>
      <c r="X1015" s="30"/>
      <c r="Y1015" s="30"/>
      <c r="Z1015" s="30"/>
      <c r="AA1015" s="30"/>
      <c r="AB1015" s="30"/>
      <c r="AC1015" s="27"/>
      <c r="AD1015" s="31"/>
      <c r="AE1015" s="32" t="str">
        <f t="shared" si="77"/>
        <v/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3290</v>
      </c>
      <c r="C1016" s="41" t="s">
        <v>3291</v>
      </c>
      <c r="D1016" s="39" t="s">
        <v>2237</v>
      </c>
      <c r="E1016" s="43">
        <v>46126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43">
        <v>46193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30"/>
      <c r="X1016" s="30"/>
      <c r="Y1016" s="30"/>
      <c r="Z1016" s="30"/>
      <c r="AA1016" s="30"/>
      <c r="AB1016" s="30"/>
      <c r="AC1016" s="27"/>
      <c r="AD1016" s="31"/>
      <c r="AE1016" s="32" t="str">
        <f t="shared" si="77"/>
        <v/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3292</v>
      </c>
      <c r="C1017" s="25" t="s">
        <v>3293</v>
      </c>
      <c r="D1017" s="23" t="s">
        <v>2237</v>
      </c>
      <c r="E1017" s="43">
        <v>46126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43">
        <v>46193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30"/>
      <c r="X1017" s="30"/>
      <c r="Y1017" s="30"/>
      <c r="Z1017" s="30"/>
      <c r="AA1017" s="30"/>
      <c r="AB1017" s="30"/>
      <c r="AC1017" s="27"/>
      <c r="AD1017" s="31"/>
      <c r="AE1017" s="32" t="str">
        <f t="shared" si="77"/>
        <v/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3294</v>
      </c>
      <c r="C1018" s="41" t="s">
        <v>3295</v>
      </c>
      <c r="D1018" s="39" t="s">
        <v>2237</v>
      </c>
      <c r="E1018" s="43">
        <v>46126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43">
        <v>46193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30"/>
      <c r="X1018" s="30"/>
      <c r="Y1018" s="30"/>
      <c r="Z1018" s="30"/>
      <c r="AA1018" s="30"/>
      <c r="AB1018" s="30"/>
      <c r="AC1018" s="27"/>
      <c r="AD1018" s="31"/>
      <c r="AE1018" s="32" t="str">
        <f t="shared" si="77"/>
        <v/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3296</v>
      </c>
      <c r="C1019" s="25" t="s">
        <v>3297</v>
      </c>
      <c r="D1019" s="23" t="s">
        <v>2237</v>
      </c>
      <c r="E1019" s="43">
        <v>46126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43">
        <v>46193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30"/>
      <c r="X1019" s="30"/>
      <c r="Y1019" s="30"/>
      <c r="Z1019" s="30"/>
      <c r="AA1019" s="30"/>
      <c r="AB1019" s="30"/>
      <c r="AC1019" s="27"/>
      <c r="AD1019" s="31"/>
      <c r="AE1019" s="32" t="str">
        <f t="shared" si="77"/>
        <v/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3298</v>
      </c>
      <c r="C1020" s="41" t="s">
        <v>3299</v>
      </c>
      <c r="D1020" s="39" t="s">
        <v>2237</v>
      </c>
      <c r="E1020" s="43">
        <v>46126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43">
        <v>46193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30"/>
      <c r="X1020" s="30"/>
      <c r="Y1020" s="30"/>
      <c r="Z1020" s="30"/>
      <c r="AA1020" s="30"/>
      <c r="AB1020" s="30"/>
      <c r="AC1020" s="27"/>
      <c r="AD1020" s="31"/>
      <c r="AE1020" s="32" t="str">
        <f t="shared" si="77"/>
        <v/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3300</v>
      </c>
      <c r="C1021" s="25" t="s">
        <v>3301</v>
      </c>
      <c r="D1021" s="23" t="s">
        <v>2237</v>
      </c>
      <c r="E1021" s="43">
        <v>46126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43">
        <v>46193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30"/>
      <c r="X1021" s="30"/>
      <c r="Y1021" s="30"/>
      <c r="Z1021" s="30"/>
      <c r="AA1021" s="30"/>
      <c r="AB1021" s="30"/>
      <c r="AC1021" s="27"/>
      <c r="AD1021" s="31"/>
      <c r="AE1021" s="32" t="str">
        <f t="shared" si="77"/>
        <v/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3302</v>
      </c>
      <c r="C1022" s="41" t="s">
        <v>3303</v>
      </c>
      <c r="D1022" s="39" t="s">
        <v>2237</v>
      </c>
      <c r="E1022" s="43">
        <v>46126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43">
        <v>46193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30"/>
      <c r="X1022" s="30"/>
      <c r="Y1022" s="30"/>
      <c r="Z1022" s="30"/>
      <c r="AA1022" s="30"/>
      <c r="AB1022" s="30"/>
      <c r="AC1022" s="27"/>
      <c r="AD1022" s="31"/>
      <c r="AE1022" s="32" t="str">
        <f t="shared" si="77"/>
        <v/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3304</v>
      </c>
      <c r="C1023" s="25" t="s">
        <v>3305</v>
      </c>
      <c r="D1023" s="23" t="s">
        <v>2237</v>
      </c>
      <c r="E1023" s="43">
        <v>46126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43">
        <v>46193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30"/>
      <c r="X1023" s="30"/>
      <c r="Y1023" s="30"/>
      <c r="Z1023" s="30"/>
      <c r="AA1023" s="30"/>
      <c r="AB1023" s="30"/>
      <c r="AC1023" s="27"/>
      <c r="AD1023" s="31"/>
      <c r="AE1023" s="32" t="str">
        <f t="shared" si="77"/>
        <v/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3306</v>
      </c>
      <c r="C1024" s="41" t="s">
        <v>3307</v>
      </c>
      <c r="D1024" s="39" t="s">
        <v>2237</v>
      </c>
      <c r="E1024" s="43">
        <v>46126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43">
        <v>46193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30"/>
      <c r="X1024" s="30"/>
      <c r="Y1024" s="30"/>
      <c r="Z1024" s="30"/>
      <c r="AA1024" s="30"/>
      <c r="AB1024" s="30"/>
      <c r="AC1024" s="27"/>
      <c r="AD1024" s="31"/>
      <c r="AE1024" s="32" t="str">
        <f t="shared" si="77"/>
        <v/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3308</v>
      </c>
      <c r="C1025" s="25" t="s">
        <v>3309</v>
      </c>
      <c r="D1025" s="23" t="s">
        <v>2237</v>
      </c>
      <c r="E1025" s="43">
        <v>46126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43">
        <v>46193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30"/>
      <c r="X1025" s="30"/>
      <c r="Y1025" s="30"/>
      <c r="Z1025" s="30"/>
      <c r="AA1025" s="30"/>
      <c r="AB1025" s="30"/>
      <c r="AC1025" s="27"/>
      <c r="AD1025" s="31"/>
      <c r="AE1025" s="32" t="str">
        <f t="shared" si="77"/>
        <v/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3310</v>
      </c>
      <c r="C1026" s="41" t="s">
        <v>3311</v>
      </c>
      <c r="D1026" s="39" t="s">
        <v>2237</v>
      </c>
      <c r="E1026" s="43">
        <v>46126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43">
        <v>46193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30"/>
      <c r="X1026" s="30"/>
      <c r="Y1026" s="30"/>
      <c r="Z1026" s="30"/>
      <c r="AA1026" s="30"/>
      <c r="AB1026" s="30"/>
      <c r="AC1026" s="27"/>
      <c r="AD1026" s="31"/>
      <c r="AE1026" s="32" t="str">
        <f t="shared" si="77"/>
        <v/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3312</v>
      </c>
      <c r="C1027" s="25" t="s">
        <v>3313</v>
      </c>
      <c r="D1027" s="23" t="s">
        <v>2237</v>
      </c>
      <c r="E1027" s="43">
        <v>46126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43">
        <v>46193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30"/>
      <c r="X1027" s="30"/>
      <c r="Y1027" s="30"/>
      <c r="Z1027" s="30"/>
      <c r="AA1027" s="30"/>
      <c r="AB1027" s="30"/>
      <c r="AC1027" s="27"/>
      <c r="AD1027" s="31"/>
      <c r="AE1027" s="32" t="str">
        <f t="shared" si="77"/>
        <v/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3314</v>
      </c>
      <c r="C1028" s="41" t="s">
        <v>3315</v>
      </c>
      <c r="D1028" s="39" t="s">
        <v>2237</v>
      </c>
      <c r="E1028" s="43">
        <v>46126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43">
        <v>46193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30"/>
      <c r="X1028" s="30"/>
      <c r="Y1028" s="30"/>
      <c r="Z1028" s="30"/>
      <c r="AA1028" s="30"/>
      <c r="AB1028" s="30"/>
      <c r="AC1028" s="27"/>
      <c r="AD1028" s="31"/>
      <c r="AE1028" s="32" t="str">
        <f t="shared" si="77"/>
        <v/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3316</v>
      </c>
      <c r="C1029" s="25" t="s">
        <v>3317</v>
      </c>
      <c r="D1029" s="23" t="s">
        <v>2237</v>
      </c>
      <c r="E1029" s="43">
        <v>46126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43">
        <v>46193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30"/>
      <c r="X1029" s="30"/>
      <c r="Y1029" s="30"/>
      <c r="Z1029" s="30"/>
      <c r="AA1029" s="30"/>
      <c r="AB1029" s="30"/>
      <c r="AC1029" s="27"/>
      <c r="AD1029" s="31"/>
      <c r="AE1029" s="32" t="str">
        <f t="shared" ref="AE1029:AE1092" si="82">IF(W1029="","",IF(Z1029="Yes","❌ Disc",IF(Y1029="No","⚠ Missing",IF(AB1029="Yes","✓ OK","⚠ Check"))))</f>
        <v/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3318</v>
      </c>
      <c r="C1030" s="41" t="s">
        <v>3319</v>
      </c>
      <c r="D1030" s="39" t="s">
        <v>2237</v>
      </c>
      <c r="E1030" s="43">
        <v>46126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43">
        <v>46193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30"/>
      <c r="X1030" s="30"/>
      <c r="Y1030" s="30"/>
      <c r="Z1030" s="30"/>
      <c r="AA1030" s="30"/>
      <c r="AB1030" s="30"/>
      <c r="AC1030" s="27"/>
      <c r="AD1030" s="31"/>
      <c r="AE1030" s="32" t="str">
        <f t="shared" si="82"/>
        <v/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3320</v>
      </c>
      <c r="C1031" s="25" t="s">
        <v>3321</v>
      </c>
      <c r="D1031" s="23" t="s">
        <v>2237</v>
      </c>
      <c r="E1031" s="43">
        <v>46126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43">
        <v>46193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30"/>
      <c r="X1031" s="30"/>
      <c r="Y1031" s="30"/>
      <c r="Z1031" s="30"/>
      <c r="AA1031" s="30"/>
      <c r="AB1031" s="30"/>
      <c r="AC1031" s="27"/>
      <c r="AD1031" s="31"/>
      <c r="AE1031" s="32" t="str">
        <f t="shared" si="82"/>
        <v/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3322</v>
      </c>
      <c r="C1032" s="41" t="s">
        <v>3323</v>
      </c>
      <c r="D1032" s="39" t="s">
        <v>2237</v>
      </c>
      <c r="E1032" s="43">
        <v>46126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43">
        <v>46193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30"/>
      <c r="X1032" s="30"/>
      <c r="Y1032" s="30"/>
      <c r="Z1032" s="30"/>
      <c r="AA1032" s="30"/>
      <c r="AB1032" s="30"/>
      <c r="AC1032" s="27"/>
      <c r="AD1032" s="31"/>
      <c r="AE1032" s="32" t="str">
        <f t="shared" si="82"/>
        <v/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3324</v>
      </c>
      <c r="C1033" s="25" t="s">
        <v>3325</v>
      </c>
      <c r="D1033" s="23" t="s">
        <v>2237</v>
      </c>
      <c r="E1033" s="43">
        <v>46126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43">
        <v>46193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30"/>
      <c r="X1033" s="30"/>
      <c r="Y1033" s="30"/>
      <c r="Z1033" s="30"/>
      <c r="AA1033" s="30"/>
      <c r="AB1033" s="30"/>
      <c r="AC1033" s="27"/>
      <c r="AD1033" s="31"/>
      <c r="AE1033" s="32" t="str">
        <f t="shared" si="82"/>
        <v/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3326</v>
      </c>
      <c r="C1034" s="41" t="s">
        <v>3327</v>
      </c>
      <c r="D1034" s="39" t="s">
        <v>2237</v>
      </c>
      <c r="E1034" s="43">
        <v>46126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43">
        <v>46193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30"/>
      <c r="X1034" s="30"/>
      <c r="Y1034" s="30"/>
      <c r="Z1034" s="30"/>
      <c r="AA1034" s="30"/>
      <c r="AB1034" s="30"/>
      <c r="AC1034" s="27"/>
      <c r="AD1034" s="31"/>
      <c r="AE1034" s="32" t="str">
        <f t="shared" si="82"/>
        <v/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3328</v>
      </c>
      <c r="C1035" s="25" t="s">
        <v>3329</v>
      </c>
      <c r="D1035" s="23" t="s">
        <v>2237</v>
      </c>
      <c r="E1035" s="43">
        <v>46126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43">
        <v>46193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30"/>
      <c r="X1035" s="30"/>
      <c r="Y1035" s="30"/>
      <c r="Z1035" s="30"/>
      <c r="AA1035" s="30"/>
      <c r="AB1035" s="30"/>
      <c r="AC1035" s="27"/>
      <c r="AD1035" s="31"/>
      <c r="AE1035" s="32" t="str">
        <f t="shared" si="82"/>
        <v/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3330</v>
      </c>
      <c r="C1036" s="41" t="s">
        <v>3331</v>
      </c>
      <c r="D1036" s="39" t="s">
        <v>2237</v>
      </c>
      <c r="E1036" s="43">
        <v>46126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43">
        <v>46193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30"/>
      <c r="X1036" s="30"/>
      <c r="Y1036" s="30"/>
      <c r="Z1036" s="30"/>
      <c r="AA1036" s="30"/>
      <c r="AB1036" s="30"/>
      <c r="AC1036" s="27"/>
      <c r="AD1036" s="31"/>
      <c r="AE1036" s="32" t="str">
        <f t="shared" si="82"/>
        <v/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3332</v>
      </c>
      <c r="C1037" s="25" t="s">
        <v>3333</v>
      </c>
      <c r="D1037" s="23" t="s">
        <v>2237</v>
      </c>
      <c r="E1037" s="43">
        <v>46126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43">
        <v>46193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30"/>
      <c r="X1037" s="30"/>
      <c r="Y1037" s="30"/>
      <c r="Z1037" s="30"/>
      <c r="AA1037" s="30"/>
      <c r="AB1037" s="30"/>
      <c r="AC1037" s="27"/>
      <c r="AD1037" s="31"/>
      <c r="AE1037" s="32" t="str">
        <f t="shared" si="82"/>
        <v/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3334</v>
      </c>
      <c r="C1038" s="41" t="s">
        <v>3335</v>
      </c>
      <c r="D1038" s="39" t="s">
        <v>2237</v>
      </c>
      <c r="E1038" s="43">
        <v>46126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43">
        <v>46193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30"/>
      <c r="X1038" s="30"/>
      <c r="Y1038" s="30"/>
      <c r="Z1038" s="30"/>
      <c r="AA1038" s="30"/>
      <c r="AB1038" s="30"/>
      <c r="AC1038" s="27"/>
      <c r="AD1038" s="31"/>
      <c r="AE1038" s="32" t="str">
        <f t="shared" si="82"/>
        <v/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3336</v>
      </c>
      <c r="C1039" s="25" t="s">
        <v>3337</v>
      </c>
      <c r="D1039" s="23" t="s">
        <v>2237</v>
      </c>
      <c r="E1039" s="43">
        <v>46126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43">
        <v>46193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30"/>
      <c r="X1039" s="30"/>
      <c r="Y1039" s="30"/>
      <c r="Z1039" s="30"/>
      <c r="AA1039" s="30"/>
      <c r="AB1039" s="30"/>
      <c r="AC1039" s="27"/>
      <c r="AD1039" s="31"/>
      <c r="AE1039" s="32" t="str">
        <f t="shared" si="82"/>
        <v/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3338</v>
      </c>
      <c r="C1040" s="41" t="s">
        <v>3339</v>
      </c>
      <c r="D1040" s="39" t="s">
        <v>2237</v>
      </c>
      <c r="E1040" s="43">
        <v>46126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43">
        <v>46193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30"/>
      <c r="X1040" s="30"/>
      <c r="Y1040" s="30"/>
      <c r="Z1040" s="30"/>
      <c r="AA1040" s="30"/>
      <c r="AB1040" s="30"/>
      <c r="AC1040" s="27"/>
      <c r="AD1040" s="31"/>
      <c r="AE1040" s="32" t="str">
        <f t="shared" si="82"/>
        <v/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3340</v>
      </c>
      <c r="C1041" s="25" t="s">
        <v>3341</v>
      </c>
      <c r="D1041" s="23" t="s">
        <v>2237</v>
      </c>
      <c r="E1041" s="43">
        <v>46126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43">
        <v>46193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30"/>
      <c r="X1041" s="30"/>
      <c r="Y1041" s="30"/>
      <c r="Z1041" s="30"/>
      <c r="AA1041" s="30"/>
      <c r="AB1041" s="30"/>
      <c r="AC1041" s="27"/>
      <c r="AD1041" s="31"/>
      <c r="AE1041" s="32" t="str">
        <f t="shared" si="82"/>
        <v/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3342</v>
      </c>
      <c r="C1042" s="41" t="s">
        <v>3343</v>
      </c>
      <c r="D1042" s="39" t="s">
        <v>2237</v>
      </c>
      <c r="E1042" s="43">
        <v>46126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43">
        <v>46193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30"/>
      <c r="X1042" s="30"/>
      <c r="Y1042" s="30"/>
      <c r="Z1042" s="30"/>
      <c r="AA1042" s="30"/>
      <c r="AB1042" s="30"/>
      <c r="AC1042" s="27"/>
      <c r="AD1042" s="31"/>
      <c r="AE1042" s="32" t="str">
        <f t="shared" si="82"/>
        <v/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3344</v>
      </c>
      <c r="C1043" s="25" t="s">
        <v>3345</v>
      </c>
      <c r="D1043" s="23" t="s">
        <v>2237</v>
      </c>
      <c r="E1043" s="43">
        <v>46126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43">
        <v>46193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30"/>
      <c r="X1043" s="30"/>
      <c r="Y1043" s="30"/>
      <c r="Z1043" s="30"/>
      <c r="AA1043" s="30"/>
      <c r="AB1043" s="30"/>
      <c r="AC1043" s="27"/>
      <c r="AD1043" s="31"/>
      <c r="AE1043" s="32" t="str">
        <f t="shared" si="82"/>
        <v/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3346</v>
      </c>
      <c r="C1044" s="41" t="s">
        <v>3347</v>
      </c>
      <c r="D1044" s="39" t="s">
        <v>2237</v>
      </c>
      <c r="E1044" s="43">
        <v>46126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43">
        <v>46193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30"/>
      <c r="X1044" s="30"/>
      <c r="Y1044" s="30"/>
      <c r="Z1044" s="30"/>
      <c r="AA1044" s="30"/>
      <c r="AB1044" s="30"/>
      <c r="AC1044" s="27"/>
      <c r="AD1044" s="31"/>
      <c r="AE1044" s="32" t="str">
        <f t="shared" si="82"/>
        <v/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3348</v>
      </c>
      <c r="C1045" s="25" t="s">
        <v>3349</v>
      </c>
      <c r="D1045" s="23" t="s">
        <v>2237</v>
      </c>
      <c r="E1045" s="43">
        <v>46126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43">
        <v>46193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30"/>
      <c r="X1045" s="30"/>
      <c r="Y1045" s="30"/>
      <c r="Z1045" s="30"/>
      <c r="AA1045" s="30"/>
      <c r="AB1045" s="30"/>
      <c r="AC1045" s="27"/>
      <c r="AD1045" s="31"/>
      <c r="AE1045" s="32" t="str">
        <f t="shared" si="82"/>
        <v/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3350</v>
      </c>
      <c r="C1046" s="41" t="s">
        <v>3351</v>
      </c>
      <c r="D1046" s="39" t="s">
        <v>2237</v>
      </c>
      <c r="E1046" s="43">
        <v>46126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43">
        <v>46193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30"/>
      <c r="X1046" s="30"/>
      <c r="Y1046" s="30"/>
      <c r="Z1046" s="30"/>
      <c r="AA1046" s="30"/>
      <c r="AB1046" s="30"/>
      <c r="AC1046" s="27"/>
      <c r="AD1046" s="31"/>
      <c r="AE1046" s="32" t="str">
        <f t="shared" si="82"/>
        <v/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3352</v>
      </c>
      <c r="C1047" s="25" t="s">
        <v>3353</v>
      </c>
      <c r="D1047" s="23" t="s">
        <v>2237</v>
      </c>
      <c r="E1047" s="43">
        <v>46126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43">
        <v>46193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30"/>
      <c r="X1047" s="30"/>
      <c r="Y1047" s="30"/>
      <c r="Z1047" s="30"/>
      <c r="AA1047" s="30"/>
      <c r="AB1047" s="30"/>
      <c r="AC1047" s="27"/>
      <c r="AD1047" s="31"/>
      <c r="AE1047" s="32" t="str">
        <f t="shared" si="82"/>
        <v/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3354</v>
      </c>
      <c r="C1048" s="41" t="s">
        <v>3355</v>
      </c>
      <c r="D1048" s="39" t="s">
        <v>2237</v>
      </c>
      <c r="E1048" s="43">
        <v>46126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43">
        <v>46193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30"/>
      <c r="X1048" s="30"/>
      <c r="Y1048" s="30"/>
      <c r="Z1048" s="30"/>
      <c r="AA1048" s="30"/>
      <c r="AB1048" s="30"/>
      <c r="AC1048" s="27"/>
      <c r="AD1048" s="31"/>
      <c r="AE1048" s="32" t="str">
        <f t="shared" si="82"/>
        <v/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3356</v>
      </c>
      <c r="C1049" s="25" t="s">
        <v>3357</v>
      </c>
      <c r="D1049" s="23" t="s">
        <v>2237</v>
      </c>
      <c r="E1049" s="43">
        <v>46126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43">
        <v>46193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30"/>
      <c r="X1049" s="30"/>
      <c r="Y1049" s="30"/>
      <c r="Z1049" s="30"/>
      <c r="AA1049" s="30"/>
      <c r="AB1049" s="30"/>
      <c r="AC1049" s="27"/>
      <c r="AD1049" s="31"/>
      <c r="AE1049" s="32" t="str">
        <f t="shared" si="82"/>
        <v/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3358</v>
      </c>
      <c r="C1050" s="41" t="s">
        <v>3359</v>
      </c>
      <c r="D1050" s="39" t="s">
        <v>2237</v>
      </c>
      <c r="E1050" s="43">
        <v>46126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43">
        <v>46193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30"/>
      <c r="X1050" s="30"/>
      <c r="Y1050" s="30"/>
      <c r="Z1050" s="30"/>
      <c r="AA1050" s="30"/>
      <c r="AB1050" s="30"/>
      <c r="AC1050" s="27"/>
      <c r="AD1050" s="31"/>
      <c r="AE1050" s="32" t="str">
        <f t="shared" si="82"/>
        <v/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3360</v>
      </c>
      <c r="C1051" s="25" t="s">
        <v>3361</v>
      </c>
      <c r="D1051" s="23" t="s">
        <v>2237</v>
      </c>
      <c r="E1051" s="43">
        <v>46126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43">
        <v>46193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30"/>
      <c r="X1051" s="30"/>
      <c r="Y1051" s="30"/>
      <c r="Z1051" s="30"/>
      <c r="AA1051" s="30"/>
      <c r="AB1051" s="30"/>
      <c r="AC1051" s="27"/>
      <c r="AD1051" s="31"/>
      <c r="AE1051" s="32" t="str">
        <f t="shared" si="82"/>
        <v/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3362</v>
      </c>
      <c r="C1052" s="41" t="s">
        <v>3363</v>
      </c>
      <c r="D1052" s="39" t="s">
        <v>2237</v>
      </c>
      <c r="E1052" s="43">
        <v>46126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43">
        <v>46193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30"/>
      <c r="X1052" s="30"/>
      <c r="Y1052" s="30"/>
      <c r="Z1052" s="30"/>
      <c r="AA1052" s="30"/>
      <c r="AB1052" s="30"/>
      <c r="AC1052" s="27"/>
      <c r="AD1052" s="31"/>
      <c r="AE1052" s="32" t="str">
        <f t="shared" si="82"/>
        <v/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3364</v>
      </c>
      <c r="C1053" s="25" t="s">
        <v>3365</v>
      </c>
      <c r="D1053" s="23" t="s">
        <v>2237</v>
      </c>
      <c r="E1053" s="43">
        <v>46126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43">
        <v>46193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30"/>
      <c r="X1053" s="30"/>
      <c r="Y1053" s="30"/>
      <c r="Z1053" s="30"/>
      <c r="AA1053" s="30"/>
      <c r="AB1053" s="30"/>
      <c r="AC1053" s="27"/>
      <c r="AD1053" s="31"/>
      <c r="AE1053" s="32" t="str">
        <f t="shared" si="82"/>
        <v/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3366</v>
      </c>
      <c r="C1054" s="41" t="s">
        <v>3367</v>
      </c>
      <c r="D1054" s="39" t="s">
        <v>2237</v>
      </c>
      <c r="E1054" s="43">
        <v>46126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43">
        <v>46193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30"/>
      <c r="X1054" s="30"/>
      <c r="Y1054" s="30"/>
      <c r="Z1054" s="30"/>
      <c r="AA1054" s="30"/>
      <c r="AB1054" s="30"/>
      <c r="AC1054" s="27"/>
      <c r="AD1054" s="31"/>
      <c r="AE1054" s="32" t="str">
        <f t="shared" si="82"/>
        <v/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3368</v>
      </c>
      <c r="C1055" s="25" t="s">
        <v>3369</v>
      </c>
      <c r="D1055" s="23" t="s">
        <v>2237</v>
      </c>
      <c r="E1055" s="43">
        <v>46126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43">
        <v>46193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30"/>
      <c r="X1055" s="30"/>
      <c r="Y1055" s="30"/>
      <c r="Z1055" s="30"/>
      <c r="AA1055" s="30"/>
      <c r="AB1055" s="30"/>
      <c r="AC1055" s="27"/>
      <c r="AD1055" s="31"/>
      <c r="AE1055" s="32" t="str">
        <f t="shared" si="82"/>
        <v/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3370</v>
      </c>
      <c r="C1056" s="41" t="s">
        <v>3371</v>
      </c>
      <c r="D1056" s="39" t="s">
        <v>2237</v>
      </c>
      <c r="E1056" s="43">
        <v>46126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43">
        <v>46193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30"/>
      <c r="X1056" s="30"/>
      <c r="Y1056" s="30"/>
      <c r="Z1056" s="30"/>
      <c r="AA1056" s="30"/>
      <c r="AB1056" s="30"/>
      <c r="AC1056" s="27"/>
      <c r="AD1056" s="31"/>
      <c r="AE1056" s="32" t="str">
        <f t="shared" si="82"/>
        <v/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3372</v>
      </c>
      <c r="C1057" s="25" t="s">
        <v>3373</v>
      </c>
      <c r="D1057" s="23" t="s">
        <v>2237</v>
      </c>
      <c r="E1057" s="43">
        <v>46126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43">
        <v>46193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30"/>
      <c r="X1057" s="30"/>
      <c r="Y1057" s="30"/>
      <c r="Z1057" s="30"/>
      <c r="AA1057" s="30"/>
      <c r="AB1057" s="30"/>
      <c r="AC1057" s="27"/>
      <c r="AD1057" s="31"/>
      <c r="AE1057" s="32" t="str">
        <f t="shared" si="82"/>
        <v/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3374</v>
      </c>
      <c r="C1058" s="41" t="s">
        <v>3375</v>
      </c>
      <c r="D1058" s="39" t="s">
        <v>2237</v>
      </c>
      <c r="E1058" s="43">
        <v>46126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43">
        <v>46193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30"/>
      <c r="X1058" s="30"/>
      <c r="Y1058" s="30"/>
      <c r="Z1058" s="30"/>
      <c r="AA1058" s="30"/>
      <c r="AB1058" s="30"/>
      <c r="AC1058" s="27"/>
      <c r="AD1058" s="31"/>
      <c r="AE1058" s="32" t="str">
        <f t="shared" si="82"/>
        <v/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3376</v>
      </c>
      <c r="C1059" s="25" t="s">
        <v>3377</v>
      </c>
      <c r="D1059" s="23" t="s">
        <v>2237</v>
      </c>
      <c r="E1059" s="43">
        <v>46126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43">
        <v>46193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30"/>
      <c r="X1059" s="30"/>
      <c r="Y1059" s="30"/>
      <c r="Z1059" s="30"/>
      <c r="AA1059" s="30"/>
      <c r="AB1059" s="30"/>
      <c r="AC1059" s="27"/>
      <c r="AD1059" s="31"/>
      <c r="AE1059" s="32" t="str">
        <f t="shared" si="82"/>
        <v/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3378</v>
      </c>
      <c r="C1060" s="41" t="s">
        <v>3379</v>
      </c>
      <c r="D1060" s="39" t="s">
        <v>2237</v>
      </c>
      <c r="E1060" s="43">
        <v>46126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43">
        <v>46193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30"/>
      <c r="X1060" s="30"/>
      <c r="Y1060" s="30"/>
      <c r="Z1060" s="30"/>
      <c r="AA1060" s="30"/>
      <c r="AB1060" s="30"/>
      <c r="AC1060" s="27"/>
      <c r="AD1060" s="31"/>
      <c r="AE1060" s="32" t="str">
        <f t="shared" si="82"/>
        <v/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3380</v>
      </c>
      <c r="C1061" s="25" t="s">
        <v>3381</v>
      </c>
      <c r="D1061" s="23" t="s">
        <v>2237</v>
      </c>
      <c r="E1061" s="43">
        <v>46126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43">
        <v>46193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30"/>
      <c r="X1061" s="30"/>
      <c r="Y1061" s="30"/>
      <c r="Z1061" s="30"/>
      <c r="AA1061" s="30"/>
      <c r="AB1061" s="30"/>
      <c r="AC1061" s="27"/>
      <c r="AD1061" s="31"/>
      <c r="AE1061" s="32" t="str">
        <f t="shared" si="82"/>
        <v/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3382</v>
      </c>
      <c r="C1062" s="41" t="s">
        <v>3383</v>
      </c>
      <c r="D1062" s="39" t="s">
        <v>2237</v>
      </c>
      <c r="E1062" s="43">
        <v>46126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43">
        <v>46193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30"/>
      <c r="X1062" s="30"/>
      <c r="Y1062" s="30"/>
      <c r="Z1062" s="30"/>
      <c r="AA1062" s="30"/>
      <c r="AB1062" s="30"/>
      <c r="AC1062" s="27"/>
      <c r="AD1062" s="31"/>
      <c r="AE1062" s="32" t="str">
        <f t="shared" si="82"/>
        <v/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3384</v>
      </c>
      <c r="C1063" s="25" t="s">
        <v>3385</v>
      </c>
      <c r="D1063" s="23" t="s">
        <v>2237</v>
      </c>
      <c r="E1063" s="43">
        <v>46126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43">
        <v>46193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30"/>
      <c r="X1063" s="30"/>
      <c r="Y1063" s="30"/>
      <c r="Z1063" s="30"/>
      <c r="AA1063" s="30"/>
      <c r="AB1063" s="30"/>
      <c r="AC1063" s="27"/>
      <c r="AD1063" s="31"/>
      <c r="AE1063" s="32" t="str">
        <f t="shared" si="82"/>
        <v/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3386</v>
      </c>
      <c r="C1064" s="41" t="s">
        <v>3387</v>
      </c>
      <c r="D1064" s="39" t="s">
        <v>2237</v>
      </c>
      <c r="E1064" s="43">
        <v>46126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43">
        <v>46193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30"/>
      <c r="X1064" s="30"/>
      <c r="Y1064" s="30"/>
      <c r="Z1064" s="30"/>
      <c r="AA1064" s="30"/>
      <c r="AB1064" s="30"/>
      <c r="AC1064" s="27"/>
      <c r="AD1064" s="31"/>
      <c r="AE1064" s="32" t="str">
        <f t="shared" si="82"/>
        <v/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3388</v>
      </c>
      <c r="C1065" s="25" t="s">
        <v>3389</v>
      </c>
      <c r="D1065" s="23" t="s">
        <v>2237</v>
      </c>
      <c r="E1065" s="43">
        <v>46126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43">
        <v>46193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30"/>
      <c r="X1065" s="30"/>
      <c r="Y1065" s="30"/>
      <c r="Z1065" s="30"/>
      <c r="AA1065" s="30"/>
      <c r="AB1065" s="30"/>
      <c r="AC1065" s="27"/>
      <c r="AD1065" s="31"/>
      <c r="AE1065" s="32" t="str">
        <f t="shared" si="82"/>
        <v/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3390</v>
      </c>
      <c r="C1066" s="41" t="s">
        <v>3391</v>
      </c>
      <c r="D1066" s="39" t="s">
        <v>2237</v>
      </c>
      <c r="E1066" s="43">
        <v>46126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43">
        <v>46193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30"/>
      <c r="X1066" s="30"/>
      <c r="Y1066" s="30"/>
      <c r="Z1066" s="30"/>
      <c r="AA1066" s="30"/>
      <c r="AB1066" s="30"/>
      <c r="AC1066" s="27"/>
      <c r="AD1066" s="31"/>
      <c r="AE1066" s="32" t="str">
        <f t="shared" si="82"/>
        <v/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3392</v>
      </c>
      <c r="C1067" s="25" t="s">
        <v>3393</v>
      </c>
      <c r="D1067" s="23" t="s">
        <v>2237</v>
      </c>
      <c r="E1067" s="43">
        <v>46126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43">
        <v>46193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30"/>
      <c r="X1067" s="30"/>
      <c r="Y1067" s="30"/>
      <c r="Z1067" s="30"/>
      <c r="AA1067" s="30"/>
      <c r="AB1067" s="30"/>
      <c r="AC1067" s="27"/>
      <c r="AD1067" s="31"/>
      <c r="AE1067" s="32" t="str">
        <f t="shared" si="82"/>
        <v/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3394</v>
      </c>
      <c r="C1068" s="41" t="s">
        <v>3395</v>
      </c>
      <c r="D1068" s="39" t="s">
        <v>2237</v>
      </c>
      <c r="E1068" s="43">
        <v>46126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43">
        <v>46193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30"/>
      <c r="X1068" s="30"/>
      <c r="Y1068" s="30"/>
      <c r="Z1068" s="30"/>
      <c r="AA1068" s="30"/>
      <c r="AB1068" s="30"/>
      <c r="AC1068" s="27"/>
      <c r="AD1068" s="31"/>
      <c r="AE1068" s="32" t="str">
        <f t="shared" si="82"/>
        <v/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3396</v>
      </c>
      <c r="C1069" s="25" t="s">
        <v>3397</v>
      </c>
      <c r="D1069" s="23" t="s">
        <v>2237</v>
      </c>
      <c r="E1069" s="43">
        <v>46126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43">
        <v>46193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30"/>
      <c r="X1069" s="30"/>
      <c r="Y1069" s="30"/>
      <c r="Z1069" s="30"/>
      <c r="AA1069" s="30"/>
      <c r="AB1069" s="30"/>
      <c r="AC1069" s="27"/>
      <c r="AD1069" s="31"/>
      <c r="AE1069" s="32" t="str">
        <f t="shared" si="82"/>
        <v/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3398</v>
      </c>
      <c r="C1070" s="41" t="s">
        <v>3399</v>
      </c>
      <c r="D1070" s="39" t="s">
        <v>2237</v>
      </c>
      <c r="E1070" s="43">
        <v>46126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43">
        <v>46193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30"/>
      <c r="X1070" s="30"/>
      <c r="Y1070" s="30"/>
      <c r="Z1070" s="30"/>
      <c r="AA1070" s="30"/>
      <c r="AB1070" s="30"/>
      <c r="AC1070" s="27"/>
      <c r="AD1070" s="31"/>
      <c r="AE1070" s="32" t="str">
        <f t="shared" si="82"/>
        <v/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3400</v>
      </c>
      <c r="C1071" s="25" t="s">
        <v>3401</v>
      </c>
      <c r="D1071" s="23" t="s">
        <v>2237</v>
      </c>
      <c r="E1071" s="43">
        <v>46126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43">
        <v>46193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30"/>
      <c r="X1071" s="30"/>
      <c r="Y1071" s="30"/>
      <c r="Z1071" s="30"/>
      <c r="AA1071" s="30"/>
      <c r="AB1071" s="30"/>
      <c r="AC1071" s="27"/>
      <c r="AD1071" s="31"/>
      <c r="AE1071" s="32" t="str">
        <f t="shared" si="82"/>
        <v/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3402</v>
      </c>
      <c r="C1072" s="41" t="s">
        <v>3403</v>
      </c>
      <c r="D1072" s="39" t="s">
        <v>2237</v>
      </c>
      <c r="E1072" s="43">
        <v>46126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43">
        <v>46193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30"/>
      <c r="X1072" s="30"/>
      <c r="Y1072" s="30"/>
      <c r="Z1072" s="30"/>
      <c r="AA1072" s="30"/>
      <c r="AB1072" s="30"/>
      <c r="AC1072" s="27"/>
      <c r="AD1072" s="31"/>
      <c r="AE1072" s="32" t="str">
        <f t="shared" si="82"/>
        <v/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3404</v>
      </c>
      <c r="C1073" s="25" t="s">
        <v>3405</v>
      </c>
      <c r="D1073" s="23" t="s">
        <v>2237</v>
      </c>
      <c r="E1073" s="43">
        <v>46126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43">
        <v>46193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30"/>
      <c r="X1073" s="30"/>
      <c r="Y1073" s="30"/>
      <c r="Z1073" s="30"/>
      <c r="AA1073" s="30"/>
      <c r="AB1073" s="30"/>
      <c r="AC1073" s="27"/>
      <c r="AD1073" s="31"/>
      <c r="AE1073" s="32" t="str">
        <f t="shared" si="82"/>
        <v/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3406</v>
      </c>
      <c r="C1074" s="41" t="s">
        <v>3407</v>
      </c>
      <c r="D1074" s="39" t="s">
        <v>2237</v>
      </c>
      <c r="E1074" s="43">
        <v>46126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43">
        <v>46193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30"/>
      <c r="X1074" s="30"/>
      <c r="Y1074" s="30"/>
      <c r="Z1074" s="30"/>
      <c r="AA1074" s="30"/>
      <c r="AB1074" s="30"/>
      <c r="AC1074" s="27"/>
      <c r="AD1074" s="31"/>
      <c r="AE1074" s="32" t="str">
        <f t="shared" si="82"/>
        <v/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3408</v>
      </c>
      <c r="C1075" s="25" t="s">
        <v>3409</v>
      </c>
      <c r="D1075" s="23" t="s">
        <v>2237</v>
      </c>
      <c r="E1075" s="43">
        <v>46126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43">
        <v>46193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30"/>
      <c r="X1075" s="30"/>
      <c r="Y1075" s="30"/>
      <c r="Z1075" s="30"/>
      <c r="AA1075" s="30"/>
      <c r="AB1075" s="30"/>
      <c r="AC1075" s="27"/>
      <c r="AD1075" s="31"/>
      <c r="AE1075" s="32" t="str">
        <f t="shared" si="82"/>
        <v/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3410</v>
      </c>
      <c r="C1076" s="41" t="s">
        <v>3411</v>
      </c>
      <c r="D1076" s="39" t="s">
        <v>2237</v>
      </c>
      <c r="E1076" s="43">
        <v>46126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43">
        <v>46193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30"/>
      <c r="X1076" s="30"/>
      <c r="Y1076" s="30"/>
      <c r="Z1076" s="30"/>
      <c r="AA1076" s="30"/>
      <c r="AB1076" s="30"/>
      <c r="AC1076" s="27"/>
      <c r="AD1076" s="31"/>
      <c r="AE1076" s="32" t="str">
        <f t="shared" si="82"/>
        <v/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3412</v>
      </c>
      <c r="C1077" s="25" t="s">
        <v>3413</v>
      </c>
      <c r="D1077" s="23" t="s">
        <v>2237</v>
      </c>
      <c r="E1077" s="43">
        <v>46126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43">
        <v>46193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30"/>
      <c r="X1077" s="30"/>
      <c r="Y1077" s="30"/>
      <c r="Z1077" s="30"/>
      <c r="AA1077" s="30"/>
      <c r="AB1077" s="30"/>
      <c r="AC1077" s="27"/>
      <c r="AD1077" s="31"/>
      <c r="AE1077" s="32" t="str">
        <f t="shared" si="82"/>
        <v/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3414</v>
      </c>
      <c r="C1078" s="41" t="s">
        <v>3415</v>
      </c>
      <c r="D1078" s="39" t="s">
        <v>2237</v>
      </c>
      <c r="E1078" s="43">
        <v>46126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43">
        <v>46193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30"/>
      <c r="X1078" s="30"/>
      <c r="Y1078" s="30"/>
      <c r="Z1078" s="30"/>
      <c r="AA1078" s="30"/>
      <c r="AB1078" s="30"/>
      <c r="AC1078" s="27"/>
      <c r="AD1078" s="31"/>
      <c r="AE1078" s="32" t="str">
        <f t="shared" si="82"/>
        <v/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3416</v>
      </c>
      <c r="C1079" s="25" t="s">
        <v>3417</v>
      </c>
      <c r="D1079" s="23" t="s">
        <v>3418</v>
      </c>
      <c r="E1079" s="43">
        <v>46125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43">
        <v>46193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30"/>
      <c r="X1079" s="30"/>
      <c r="Y1079" s="30"/>
      <c r="Z1079" s="30"/>
      <c r="AA1079" s="30"/>
      <c r="AB1079" s="30"/>
      <c r="AC1079" s="27"/>
      <c r="AD1079" s="31"/>
      <c r="AE1079" s="32" t="str">
        <f t="shared" si="82"/>
        <v/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3419</v>
      </c>
      <c r="C1080" s="41" t="s">
        <v>3420</v>
      </c>
      <c r="D1080" s="39" t="s">
        <v>3418</v>
      </c>
      <c r="E1080" s="43">
        <v>46125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43">
        <v>46193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30"/>
      <c r="X1080" s="30"/>
      <c r="Y1080" s="30"/>
      <c r="Z1080" s="30"/>
      <c r="AA1080" s="30"/>
      <c r="AB1080" s="30"/>
      <c r="AC1080" s="27"/>
      <c r="AD1080" s="31"/>
      <c r="AE1080" s="32" t="str">
        <f t="shared" si="82"/>
        <v/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3421</v>
      </c>
      <c r="C1081" s="25" t="s">
        <v>3422</v>
      </c>
      <c r="D1081" s="23" t="s">
        <v>3418</v>
      </c>
      <c r="E1081" s="43">
        <v>46125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43">
        <v>46193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30"/>
      <c r="X1081" s="30"/>
      <c r="Y1081" s="30"/>
      <c r="Z1081" s="30"/>
      <c r="AA1081" s="30"/>
      <c r="AB1081" s="30"/>
      <c r="AC1081" s="27"/>
      <c r="AD1081" s="31"/>
      <c r="AE1081" s="32" t="str">
        <f t="shared" si="82"/>
        <v/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3423</v>
      </c>
      <c r="C1082" s="41" t="s">
        <v>3424</v>
      </c>
      <c r="D1082" s="39" t="s">
        <v>3418</v>
      </c>
      <c r="E1082" s="43">
        <v>46125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43">
        <v>46193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30"/>
      <c r="X1082" s="30"/>
      <c r="Y1082" s="30"/>
      <c r="Z1082" s="30"/>
      <c r="AA1082" s="30"/>
      <c r="AB1082" s="30"/>
      <c r="AC1082" s="27"/>
      <c r="AD1082" s="31"/>
      <c r="AE1082" s="32" t="str">
        <f t="shared" si="82"/>
        <v/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3425</v>
      </c>
      <c r="C1083" s="25" t="s">
        <v>3426</v>
      </c>
      <c r="D1083" s="23" t="s">
        <v>3418</v>
      </c>
      <c r="E1083" s="43">
        <v>46125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43">
        <v>46193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30"/>
      <c r="X1083" s="30"/>
      <c r="Y1083" s="30"/>
      <c r="Z1083" s="30"/>
      <c r="AA1083" s="30"/>
      <c r="AB1083" s="30"/>
      <c r="AC1083" s="27"/>
      <c r="AD1083" s="31"/>
      <c r="AE1083" s="32" t="str">
        <f t="shared" si="82"/>
        <v/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3427</v>
      </c>
      <c r="C1084" s="41" t="s">
        <v>3428</v>
      </c>
      <c r="D1084" s="39" t="s">
        <v>3418</v>
      </c>
      <c r="E1084" s="43">
        <v>46125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43">
        <v>46193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30"/>
      <c r="X1084" s="30"/>
      <c r="Y1084" s="30"/>
      <c r="Z1084" s="30"/>
      <c r="AA1084" s="30"/>
      <c r="AB1084" s="30"/>
      <c r="AC1084" s="27"/>
      <c r="AD1084" s="31"/>
      <c r="AE1084" s="32" t="str">
        <f t="shared" si="82"/>
        <v/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3429</v>
      </c>
      <c r="C1085" s="25" t="s">
        <v>3430</v>
      </c>
      <c r="D1085" s="23" t="s">
        <v>3418</v>
      </c>
      <c r="E1085" s="43">
        <v>46125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43">
        <v>46193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30"/>
      <c r="X1085" s="30"/>
      <c r="Y1085" s="30"/>
      <c r="Z1085" s="30"/>
      <c r="AA1085" s="30"/>
      <c r="AB1085" s="30"/>
      <c r="AC1085" s="27"/>
      <c r="AD1085" s="31"/>
      <c r="AE1085" s="32" t="str">
        <f t="shared" si="82"/>
        <v/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3431</v>
      </c>
      <c r="C1086" s="41" t="s">
        <v>3432</v>
      </c>
      <c r="D1086" s="39" t="s">
        <v>3418</v>
      </c>
      <c r="E1086" s="43">
        <v>46125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43">
        <v>46193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30"/>
      <c r="X1086" s="30"/>
      <c r="Y1086" s="30"/>
      <c r="Z1086" s="30"/>
      <c r="AA1086" s="30"/>
      <c r="AB1086" s="30"/>
      <c r="AC1086" s="27"/>
      <c r="AD1086" s="31"/>
      <c r="AE1086" s="32" t="str">
        <f t="shared" si="82"/>
        <v/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3433</v>
      </c>
      <c r="C1087" s="25" t="s">
        <v>3434</v>
      </c>
      <c r="D1087" s="23" t="s">
        <v>3418</v>
      </c>
      <c r="E1087" s="43">
        <v>46125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43">
        <v>46193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30"/>
      <c r="X1087" s="30"/>
      <c r="Y1087" s="30"/>
      <c r="Z1087" s="30"/>
      <c r="AA1087" s="30"/>
      <c r="AB1087" s="30"/>
      <c r="AC1087" s="27"/>
      <c r="AD1087" s="31"/>
      <c r="AE1087" s="32" t="str">
        <f t="shared" si="82"/>
        <v/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3435</v>
      </c>
      <c r="C1088" s="41" t="s">
        <v>3436</v>
      </c>
      <c r="D1088" s="39" t="s">
        <v>3418</v>
      </c>
      <c r="E1088" s="43">
        <v>46125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43">
        <v>46193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30"/>
      <c r="X1088" s="30"/>
      <c r="Y1088" s="30"/>
      <c r="Z1088" s="30"/>
      <c r="AA1088" s="30"/>
      <c r="AB1088" s="30"/>
      <c r="AC1088" s="27"/>
      <c r="AD1088" s="31"/>
      <c r="AE1088" s="32" t="str">
        <f t="shared" si="82"/>
        <v/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3437</v>
      </c>
      <c r="C1089" s="25" t="s">
        <v>3438</v>
      </c>
      <c r="D1089" s="23" t="s">
        <v>3418</v>
      </c>
      <c r="E1089" s="43">
        <v>46125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43">
        <v>46193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30"/>
      <c r="X1089" s="30"/>
      <c r="Y1089" s="30"/>
      <c r="Z1089" s="30"/>
      <c r="AA1089" s="30"/>
      <c r="AB1089" s="30"/>
      <c r="AC1089" s="27"/>
      <c r="AD1089" s="31"/>
      <c r="AE1089" s="32" t="str">
        <f t="shared" si="82"/>
        <v/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3439</v>
      </c>
      <c r="C1090" s="41" t="s">
        <v>3440</v>
      </c>
      <c r="D1090" s="39" t="s">
        <v>3418</v>
      </c>
      <c r="E1090" s="43">
        <v>46125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43">
        <v>46193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30"/>
      <c r="X1090" s="30"/>
      <c r="Y1090" s="30"/>
      <c r="Z1090" s="30"/>
      <c r="AA1090" s="30"/>
      <c r="AB1090" s="30"/>
      <c r="AC1090" s="27"/>
      <c r="AD1090" s="31"/>
      <c r="AE1090" s="32" t="str">
        <f t="shared" si="82"/>
        <v/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3441</v>
      </c>
      <c r="C1091" s="25" t="s">
        <v>3442</v>
      </c>
      <c r="D1091" s="23" t="s">
        <v>3418</v>
      </c>
      <c r="E1091" s="43">
        <v>46125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43">
        <v>46193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30"/>
      <c r="X1091" s="30"/>
      <c r="Y1091" s="30"/>
      <c r="Z1091" s="30"/>
      <c r="AA1091" s="30"/>
      <c r="AB1091" s="30"/>
      <c r="AC1091" s="27"/>
      <c r="AD1091" s="31"/>
      <c r="AE1091" s="32" t="str">
        <f t="shared" si="82"/>
        <v/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3443</v>
      </c>
      <c r="C1092" s="41" t="s">
        <v>3444</v>
      </c>
      <c r="D1092" s="39" t="s">
        <v>3418</v>
      </c>
      <c r="E1092" s="43">
        <v>46125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43">
        <v>46193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30"/>
      <c r="X1092" s="30"/>
      <c r="Y1092" s="30"/>
      <c r="Z1092" s="30"/>
      <c r="AA1092" s="30"/>
      <c r="AB1092" s="30"/>
      <c r="AC1092" s="27"/>
      <c r="AD1092" s="31"/>
      <c r="AE1092" s="32" t="str">
        <f t="shared" si="82"/>
        <v/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3445</v>
      </c>
      <c r="C1093" s="25" t="s">
        <v>3446</v>
      </c>
      <c r="D1093" s="23" t="s">
        <v>3418</v>
      </c>
      <c r="E1093" s="43">
        <v>46125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43">
        <v>46193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30"/>
      <c r="X1093" s="30"/>
      <c r="Y1093" s="30"/>
      <c r="Z1093" s="30"/>
      <c r="AA1093" s="30"/>
      <c r="AB1093" s="30"/>
      <c r="AC1093" s="27"/>
      <c r="AD1093" s="31"/>
      <c r="AE1093" s="32" t="str">
        <f t="shared" ref="AE1093:AE1156" si="87">IF(W1093="","",IF(Z1093="Yes","❌ Disc",IF(Y1093="No","⚠ Missing",IF(AB1093="Yes","✓ OK","⚠ Check"))))</f>
        <v/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3447</v>
      </c>
      <c r="C1094" s="41" t="s">
        <v>3448</v>
      </c>
      <c r="D1094" s="39" t="s">
        <v>3418</v>
      </c>
      <c r="E1094" s="43">
        <v>46125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43">
        <v>46193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30"/>
      <c r="X1094" s="30"/>
      <c r="Y1094" s="30"/>
      <c r="Z1094" s="30"/>
      <c r="AA1094" s="30"/>
      <c r="AB1094" s="30"/>
      <c r="AC1094" s="27"/>
      <c r="AD1094" s="31"/>
      <c r="AE1094" s="32" t="str">
        <f t="shared" si="87"/>
        <v/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3449</v>
      </c>
      <c r="C1095" s="25" t="s">
        <v>3450</v>
      </c>
      <c r="D1095" s="23" t="s">
        <v>3418</v>
      </c>
      <c r="E1095" s="43">
        <v>46125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43">
        <v>46193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30"/>
      <c r="X1095" s="30"/>
      <c r="Y1095" s="30"/>
      <c r="Z1095" s="30"/>
      <c r="AA1095" s="30"/>
      <c r="AB1095" s="30"/>
      <c r="AC1095" s="27"/>
      <c r="AD1095" s="31"/>
      <c r="AE1095" s="32" t="str">
        <f t="shared" si="87"/>
        <v/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3451</v>
      </c>
      <c r="C1096" s="41" t="s">
        <v>3452</v>
      </c>
      <c r="D1096" s="39" t="s">
        <v>3418</v>
      </c>
      <c r="E1096" s="43">
        <v>46125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43">
        <v>46193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30"/>
      <c r="X1096" s="30"/>
      <c r="Y1096" s="30"/>
      <c r="Z1096" s="30"/>
      <c r="AA1096" s="30"/>
      <c r="AB1096" s="30"/>
      <c r="AC1096" s="27"/>
      <c r="AD1096" s="31"/>
      <c r="AE1096" s="32" t="str">
        <f t="shared" si="87"/>
        <v/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3453</v>
      </c>
      <c r="C1097" s="25" t="s">
        <v>3454</v>
      </c>
      <c r="D1097" s="23" t="s">
        <v>3418</v>
      </c>
      <c r="E1097" s="43">
        <v>46125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43">
        <v>46193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30"/>
      <c r="X1097" s="30"/>
      <c r="Y1097" s="30"/>
      <c r="Z1097" s="30"/>
      <c r="AA1097" s="30"/>
      <c r="AB1097" s="30"/>
      <c r="AC1097" s="27"/>
      <c r="AD1097" s="31"/>
      <c r="AE1097" s="32" t="str">
        <f t="shared" si="87"/>
        <v/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3455</v>
      </c>
      <c r="C1098" s="41" t="s">
        <v>3456</v>
      </c>
      <c r="D1098" s="39" t="s">
        <v>3418</v>
      </c>
      <c r="E1098" s="43">
        <v>46125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43">
        <v>46193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30"/>
      <c r="X1098" s="30"/>
      <c r="Y1098" s="30"/>
      <c r="Z1098" s="30"/>
      <c r="AA1098" s="30"/>
      <c r="AB1098" s="30"/>
      <c r="AC1098" s="27"/>
      <c r="AD1098" s="31"/>
      <c r="AE1098" s="32" t="str">
        <f t="shared" si="87"/>
        <v/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3457</v>
      </c>
      <c r="C1099" s="25" t="s">
        <v>3458</v>
      </c>
      <c r="D1099" s="23" t="s">
        <v>3418</v>
      </c>
      <c r="E1099" s="43">
        <v>46125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43">
        <v>46193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30"/>
      <c r="X1099" s="30"/>
      <c r="Y1099" s="30"/>
      <c r="Z1099" s="30"/>
      <c r="AA1099" s="30"/>
      <c r="AB1099" s="30"/>
      <c r="AC1099" s="27"/>
      <c r="AD1099" s="31"/>
      <c r="AE1099" s="32" t="str">
        <f t="shared" si="87"/>
        <v/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3459</v>
      </c>
      <c r="C1100" s="41" t="s">
        <v>3460</v>
      </c>
      <c r="D1100" s="39" t="s">
        <v>3418</v>
      </c>
      <c r="E1100" s="43">
        <v>46125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43">
        <v>46193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30"/>
      <c r="X1100" s="30"/>
      <c r="Y1100" s="30"/>
      <c r="Z1100" s="30"/>
      <c r="AA1100" s="30"/>
      <c r="AB1100" s="30"/>
      <c r="AC1100" s="27"/>
      <c r="AD1100" s="31"/>
      <c r="AE1100" s="32" t="str">
        <f t="shared" si="87"/>
        <v/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3461</v>
      </c>
      <c r="C1101" s="25" t="s">
        <v>3462</v>
      </c>
      <c r="D1101" s="23" t="s">
        <v>3418</v>
      </c>
      <c r="E1101" s="43">
        <v>46125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43">
        <v>46193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30"/>
      <c r="X1101" s="30"/>
      <c r="Y1101" s="30"/>
      <c r="Z1101" s="30"/>
      <c r="AA1101" s="30"/>
      <c r="AB1101" s="30"/>
      <c r="AC1101" s="27"/>
      <c r="AD1101" s="31"/>
      <c r="AE1101" s="32" t="str">
        <f t="shared" si="87"/>
        <v/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3463</v>
      </c>
      <c r="C1102" s="41" t="s">
        <v>3464</v>
      </c>
      <c r="D1102" s="39" t="s">
        <v>3418</v>
      </c>
      <c r="E1102" s="43">
        <v>46125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43">
        <v>46193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30"/>
      <c r="X1102" s="30"/>
      <c r="Y1102" s="30"/>
      <c r="Z1102" s="30"/>
      <c r="AA1102" s="30"/>
      <c r="AB1102" s="30"/>
      <c r="AC1102" s="27"/>
      <c r="AD1102" s="31"/>
      <c r="AE1102" s="32" t="str">
        <f t="shared" si="87"/>
        <v/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3465</v>
      </c>
      <c r="C1103" s="25" t="s">
        <v>3466</v>
      </c>
      <c r="D1103" s="23" t="s">
        <v>3418</v>
      </c>
      <c r="E1103" s="43">
        <v>46125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43">
        <v>46193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30"/>
      <c r="X1103" s="30"/>
      <c r="Y1103" s="30"/>
      <c r="Z1103" s="30"/>
      <c r="AA1103" s="30"/>
      <c r="AB1103" s="30"/>
      <c r="AC1103" s="27"/>
      <c r="AD1103" s="31"/>
      <c r="AE1103" s="32" t="str">
        <f t="shared" si="87"/>
        <v/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3467</v>
      </c>
      <c r="C1104" s="41" t="s">
        <v>3468</v>
      </c>
      <c r="D1104" s="39" t="s">
        <v>3418</v>
      </c>
      <c r="E1104" s="43">
        <v>46125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43">
        <v>46193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30"/>
      <c r="X1104" s="30"/>
      <c r="Y1104" s="30"/>
      <c r="Z1104" s="30"/>
      <c r="AA1104" s="30"/>
      <c r="AB1104" s="30"/>
      <c r="AC1104" s="27"/>
      <c r="AD1104" s="31"/>
      <c r="AE1104" s="32" t="str">
        <f t="shared" si="87"/>
        <v/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3469</v>
      </c>
      <c r="C1105" s="25" t="s">
        <v>3470</v>
      </c>
      <c r="D1105" s="23" t="s">
        <v>3418</v>
      </c>
      <c r="E1105" s="43">
        <v>46125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43">
        <v>46193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30"/>
      <c r="X1105" s="30"/>
      <c r="Y1105" s="30"/>
      <c r="Z1105" s="30"/>
      <c r="AA1105" s="30"/>
      <c r="AB1105" s="30"/>
      <c r="AC1105" s="27"/>
      <c r="AD1105" s="31"/>
      <c r="AE1105" s="32" t="str">
        <f t="shared" si="87"/>
        <v/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3471</v>
      </c>
      <c r="C1106" s="41" t="s">
        <v>3472</v>
      </c>
      <c r="D1106" s="39" t="s">
        <v>3418</v>
      </c>
      <c r="E1106" s="43">
        <v>46125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43">
        <v>46193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30"/>
      <c r="X1106" s="30"/>
      <c r="Y1106" s="30"/>
      <c r="Z1106" s="30"/>
      <c r="AA1106" s="30"/>
      <c r="AB1106" s="30"/>
      <c r="AC1106" s="27"/>
      <c r="AD1106" s="31"/>
      <c r="AE1106" s="32" t="str">
        <f t="shared" si="87"/>
        <v/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3473</v>
      </c>
      <c r="C1107" s="25" t="s">
        <v>3474</v>
      </c>
      <c r="D1107" s="23" t="s">
        <v>3418</v>
      </c>
      <c r="E1107" s="43">
        <v>46125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43">
        <v>46193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30"/>
      <c r="X1107" s="30"/>
      <c r="Y1107" s="30"/>
      <c r="Z1107" s="30"/>
      <c r="AA1107" s="30"/>
      <c r="AB1107" s="30"/>
      <c r="AC1107" s="27"/>
      <c r="AD1107" s="31"/>
      <c r="AE1107" s="32" t="str">
        <f t="shared" si="87"/>
        <v/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3475</v>
      </c>
      <c r="C1108" s="41" t="s">
        <v>3476</v>
      </c>
      <c r="D1108" s="39" t="s">
        <v>3418</v>
      </c>
      <c r="E1108" s="43">
        <v>46125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43">
        <v>46193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30"/>
      <c r="X1108" s="30"/>
      <c r="Y1108" s="30"/>
      <c r="Z1108" s="30"/>
      <c r="AA1108" s="30"/>
      <c r="AB1108" s="30"/>
      <c r="AC1108" s="27"/>
      <c r="AD1108" s="31"/>
      <c r="AE1108" s="32" t="str">
        <f t="shared" si="87"/>
        <v/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3477</v>
      </c>
      <c r="C1109" s="25" t="s">
        <v>3478</v>
      </c>
      <c r="D1109" s="23" t="s">
        <v>3418</v>
      </c>
      <c r="E1109" s="43">
        <v>46125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43">
        <v>46193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30"/>
      <c r="X1109" s="30"/>
      <c r="Y1109" s="30"/>
      <c r="Z1109" s="30"/>
      <c r="AA1109" s="30"/>
      <c r="AB1109" s="30"/>
      <c r="AC1109" s="27"/>
      <c r="AD1109" s="31"/>
      <c r="AE1109" s="32" t="str">
        <f t="shared" si="87"/>
        <v/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3479</v>
      </c>
      <c r="C1110" s="41" t="s">
        <v>3480</v>
      </c>
      <c r="D1110" s="39" t="s">
        <v>3418</v>
      </c>
      <c r="E1110" s="43">
        <v>46125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43">
        <v>46193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30"/>
      <c r="X1110" s="30"/>
      <c r="Y1110" s="30"/>
      <c r="Z1110" s="30"/>
      <c r="AA1110" s="30"/>
      <c r="AB1110" s="30"/>
      <c r="AC1110" s="27"/>
      <c r="AD1110" s="31"/>
      <c r="AE1110" s="32" t="str">
        <f t="shared" si="87"/>
        <v/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3481</v>
      </c>
      <c r="C1111" s="25" t="s">
        <v>3482</v>
      </c>
      <c r="D1111" s="23" t="s">
        <v>3418</v>
      </c>
      <c r="E1111" s="43">
        <v>46125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43">
        <v>46193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30"/>
      <c r="X1111" s="30"/>
      <c r="Y1111" s="30"/>
      <c r="Z1111" s="30"/>
      <c r="AA1111" s="30"/>
      <c r="AB1111" s="30"/>
      <c r="AC1111" s="27"/>
      <c r="AD1111" s="31"/>
      <c r="AE1111" s="32" t="str">
        <f t="shared" si="87"/>
        <v/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3483</v>
      </c>
      <c r="C1112" s="41" t="s">
        <v>3484</v>
      </c>
      <c r="D1112" s="39" t="s">
        <v>3418</v>
      </c>
      <c r="E1112" s="43">
        <v>46125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43">
        <v>46193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30"/>
      <c r="X1112" s="30"/>
      <c r="Y1112" s="30"/>
      <c r="Z1112" s="30"/>
      <c r="AA1112" s="30"/>
      <c r="AB1112" s="30"/>
      <c r="AC1112" s="27"/>
      <c r="AD1112" s="31"/>
      <c r="AE1112" s="32" t="str">
        <f t="shared" si="87"/>
        <v/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3485</v>
      </c>
      <c r="C1113" s="25" t="s">
        <v>3486</v>
      </c>
      <c r="D1113" s="23" t="s">
        <v>3418</v>
      </c>
      <c r="E1113" s="43">
        <v>46125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43">
        <v>46193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30"/>
      <c r="X1113" s="30"/>
      <c r="Y1113" s="30"/>
      <c r="Z1113" s="30"/>
      <c r="AA1113" s="30"/>
      <c r="AB1113" s="30"/>
      <c r="AC1113" s="27"/>
      <c r="AD1113" s="31"/>
      <c r="AE1113" s="32" t="str">
        <f t="shared" si="87"/>
        <v/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3487</v>
      </c>
      <c r="C1114" s="41" t="s">
        <v>3488</v>
      </c>
      <c r="D1114" s="39" t="s">
        <v>3418</v>
      </c>
      <c r="E1114" s="43">
        <v>46125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43">
        <v>46193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30"/>
      <c r="X1114" s="30"/>
      <c r="Y1114" s="30"/>
      <c r="Z1114" s="30"/>
      <c r="AA1114" s="30"/>
      <c r="AB1114" s="30"/>
      <c r="AC1114" s="27"/>
      <c r="AD1114" s="31"/>
      <c r="AE1114" s="32" t="str">
        <f t="shared" si="87"/>
        <v/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3489</v>
      </c>
      <c r="C1115" s="25" t="s">
        <v>3490</v>
      </c>
      <c r="D1115" s="23" t="s">
        <v>3418</v>
      </c>
      <c r="E1115" s="43">
        <v>46125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43">
        <v>46193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30"/>
      <c r="X1115" s="30"/>
      <c r="Y1115" s="30"/>
      <c r="Z1115" s="30"/>
      <c r="AA1115" s="30"/>
      <c r="AB1115" s="30"/>
      <c r="AC1115" s="27"/>
      <c r="AD1115" s="31"/>
      <c r="AE1115" s="32" t="str">
        <f t="shared" si="87"/>
        <v/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3491</v>
      </c>
      <c r="C1116" s="41" t="s">
        <v>3492</v>
      </c>
      <c r="D1116" s="39" t="s">
        <v>3418</v>
      </c>
      <c r="E1116" s="43">
        <v>46125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43">
        <v>46193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30"/>
      <c r="X1116" s="30"/>
      <c r="Y1116" s="30"/>
      <c r="Z1116" s="30"/>
      <c r="AA1116" s="30"/>
      <c r="AB1116" s="30"/>
      <c r="AC1116" s="27"/>
      <c r="AD1116" s="31"/>
      <c r="AE1116" s="32" t="str">
        <f t="shared" si="87"/>
        <v/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3493</v>
      </c>
      <c r="C1117" s="25" t="s">
        <v>3494</v>
      </c>
      <c r="D1117" s="23" t="s">
        <v>3418</v>
      </c>
      <c r="E1117" s="43">
        <v>46125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43">
        <v>46193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30"/>
      <c r="X1117" s="30"/>
      <c r="Y1117" s="30"/>
      <c r="Z1117" s="30"/>
      <c r="AA1117" s="30"/>
      <c r="AB1117" s="30"/>
      <c r="AC1117" s="27"/>
      <c r="AD1117" s="31"/>
      <c r="AE1117" s="32" t="str">
        <f t="shared" si="87"/>
        <v/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3495</v>
      </c>
      <c r="C1118" s="41" t="s">
        <v>3496</v>
      </c>
      <c r="D1118" s="39" t="s">
        <v>3418</v>
      </c>
      <c r="E1118" s="43">
        <v>46125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43">
        <v>46193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30"/>
      <c r="X1118" s="30"/>
      <c r="Y1118" s="30"/>
      <c r="Z1118" s="30"/>
      <c r="AA1118" s="30"/>
      <c r="AB1118" s="30"/>
      <c r="AC1118" s="27"/>
      <c r="AD1118" s="31"/>
      <c r="AE1118" s="32" t="str">
        <f t="shared" si="87"/>
        <v/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3497</v>
      </c>
      <c r="C1119" s="25" t="s">
        <v>3498</v>
      </c>
      <c r="D1119" s="23" t="s">
        <v>3418</v>
      </c>
      <c r="E1119" s="43">
        <v>46125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43">
        <v>46193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30"/>
      <c r="X1119" s="30"/>
      <c r="Y1119" s="30"/>
      <c r="Z1119" s="30"/>
      <c r="AA1119" s="30"/>
      <c r="AB1119" s="30"/>
      <c r="AC1119" s="27"/>
      <c r="AD1119" s="31"/>
      <c r="AE1119" s="32" t="str">
        <f t="shared" si="87"/>
        <v/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3499</v>
      </c>
      <c r="C1120" s="41" t="s">
        <v>3500</v>
      </c>
      <c r="D1120" s="39" t="s">
        <v>3418</v>
      </c>
      <c r="E1120" s="43">
        <v>46125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43">
        <v>46193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30"/>
      <c r="X1120" s="30"/>
      <c r="Y1120" s="30"/>
      <c r="Z1120" s="30"/>
      <c r="AA1120" s="30"/>
      <c r="AB1120" s="30"/>
      <c r="AC1120" s="27"/>
      <c r="AD1120" s="31"/>
      <c r="AE1120" s="32" t="str">
        <f t="shared" si="87"/>
        <v/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3501</v>
      </c>
      <c r="C1121" s="25" t="s">
        <v>3502</v>
      </c>
      <c r="D1121" s="23" t="s">
        <v>3418</v>
      </c>
      <c r="E1121" s="43">
        <v>46125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43">
        <v>46193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30"/>
      <c r="X1121" s="30"/>
      <c r="Y1121" s="30"/>
      <c r="Z1121" s="30"/>
      <c r="AA1121" s="30"/>
      <c r="AB1121" s="30"/>
      <c r="AC1121" s="27"/>
      <c r="AD1121" s="31"/>
      <c r="AE1121" s="32" t="str">
        <f t="shared" si="87"/>
        <v/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3503</v>
      </c>
      <c r="C1122" s="41" t="s">
        <v>3504</v>
      </c>
      <c r="D1122" s="39" t="s">
        <v>3418</v>
      </c>
      <c r="E1122" s="43">
        <v>46125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43">
        <v>46193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30"/>
      <c r="X1122" s="30"/>
      <c r="Y1122" s="30"/>
      <c r="Z1122" s="30"/>
      <c r="AA1122" s="30"/>
      <c r="AB1122" s="30"/>
      <c r="AC1122" s="27"/>
      <c r="AD1122" s="31"/>
      <c r="AE1122" s="32" t="str">
        <f t="shared" si="87"/>
        <v/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3505</v>
      </c>
      <c r="C1123" s="25" t="s">
        <v>3506</v>
      </c>
      <c r="D1123" s="23" t="s">
        <v>3418</v>
      </c>
      <c r="E1123" s="43">
        <v>46125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43">
        <v>46193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30"/>
      <c r="X1123" s="30"/>
      <c r="Y1123" s="30"/>
      <c r="Z1123" s="30"/>
      <c r="AA1123" s="30"/>
      <c r="AB1123" s="30"/>
      <c r="AC1123" s="27"/>
      <c r="AD1123" s="31"/>
      <c r="AE1123" s="32" t="str">
        <f t="shared" si="87"/>
        <v/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3507</v>
      </c>
      <c r="C1124" s="41" t="s">
        <v>3508</v>
      </c>
      <c r="D1124" s="39" t="s">
        <v>3418</v>
      </c>
      <c r="E1124" s="43">
        <v>46125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43">
        <v>46193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30"/>
      <c r="X1124" s="30"/>
      <c r="Y1124" s="30"/>
      <c r="Z1124" s="30"/>
      <c r="AA1124" s="30"/>
      <c r="AB1124" s="30"/>
      <c r="AC1124" s="27"/>
      <c r="AD1124" s="31"/>
      <c r="AE1124" s="32" t="str">
        <f t="shared" si="87"/>
        <v/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3509</v>
      </c>
      <c r="C1125" s="25" t="s">
        <v>3510</v>
      </c>
      <c r="D1125" s="23" t="s">
        <v>3418</v>
      </c>
      <c r="E1125" s="43">
        <v>46125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43">
        <v>46193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30"/>
      <c r="X1125" s="30"/>
      <c r="Y1125" s="30"/>
      <c r="Z1125" s="30"/>
      <c r="AA1125" s="30"/>
      <c r="AB1125" s="30"/>
      <c r="AC1125" s="27"/>
      <c r="AD1125" s="31"/>
      <c r="AE1125" s="32" t="str">
        <f t="shared" si="87"/>
        <v/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3511</v>
      </c>
      <c r="C1126" s="41" t="s">
        <v>3512</v>
      </c>
      <c r="D1126" s="39" t="s">
        <v>3418</v>
      </c>
      <c r="E1126" s="43">
        <v>46125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43">
        <v>46193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30"/>
      <c r="X1126" s="30"/>
      <c r="Y1126" s="30"/>
      <c r="Z1126" s="30"/>
      <c r="AA1126" s="30"/>
      <c r="AB1126" s="30"/>
      <c r="AC1126" s="27"/>
      <c r="AD1126" s="31"/>
      <c r="AE1126" s="32" t="str">
        <f t="shared" si="87"/>
        <v/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3513</v>
      </c>
      <c r="C1127" s="25" t="s">
        <v>3514</v>
      </c>
      <c r="D1127" s="23" t="s">
        <v>3418</v>
      </c>
      <c r="E1127" s="43">
        <v>46125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43">
        <v>46193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30"/>
      <c r="X1127" s="30"/>
      <c r="Y1127" s="30"/>
      <c r="Z1127" s="30"/>
      <c r="AA1127" s="30"/>
      <c r="AB1127" s="30"/>
      <c r="AC1127" s="27"/>
      <c r="AD1127" s="31"/>
      <c r="AE1127" s="32" t="str">
        <f t="shared" si="87"/>
        <v/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3515</v>
      </c>
      <c r="C1128" s="41" t="s">
        <v>3516</v>
      </c>
      <c r="D1128" s="39" t="s">
        <v>3418</v>
      </c>
      <c r="E1128" s="43">
        <v>46125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43">
        <v>46193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30"/>
      <c r="X1128" s="30"/>
      <c r="Y1128" s="30"/>
      <c r="Z1128" s="30"/>
      <c r="AA1128" s="30"/>
      <c r="AB1128" s="30"/>
      <c r="AC1128" s="27"/>
      <c r="AD1128" s="31"/>
      <c r="AE1128" s="32" t="str">
        <f t="shared" si="87"/>
        <v/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3517</v>
      </c>
      <c r="C1129" s="25" t="s">
        <v>3518</v>
      </c>
      <c r="D1129" s="23" t="s">
        <v>3418</v>
      </c>
      <c r="E1129" s="43">
        <v>46125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43">
        <v>46193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30"/>
      <c r="X1129" s="30"/>
      <c r="Y1129" s="30"/>
      <c r="Z1129" s="30"/>
      <c r="AA1129" s="30"/>
      <c r="AB1129" s="30"/>
      <c r="AC1129" s="27"/>
      <c r="AD1129" s="31"/>
      <c r="AE1129" s="32" t="str">
        <f t="shared" si="87"/>
        <v/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3519</v>
      </c>
      <c r="C1130" s="41" t="s">
        <v>3520</v>
      </c>
      <c r="D1130" s="39" t="s">
        <v>3418</v>
      </c>
      <c r="E1130" s="43">
        <v>46125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43">
        <v>46193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30"/>
      <c r="X1130" s="30"/>
      <c r="Y1130" s="30"/>
      <c r="Z1130" s="30"/>
      <c r="AA1130" s="30"/>
      <c r="AB1130" s="30"/>
      <c r="AC1130" s="27"/>
      <c r="AD1130" s="31"/>
      <c r="AE1130" s="32" t="str">
        <f t="shared" si="87"/>
        <v/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3521</v>
      </c>
      <c r="C1131" s="25" t="s">
        <v>3522</v>
      </c>
      <c r="D1131" s="23" t="s">
        <v>3418</v>
      </c>
      <c r="E1131" s="43">
        <v>46125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43">
        <v>46193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30"/>
      <c r="X1131" s="30"/>
      <c r="Y1131" s="30"/>
      <c r="Z1131" s="30"/>
      <c r="AA1131" s="30"/>
      <c r="AB1131" s="30"/>
      <c r="AC1131" s="27"/>
      <c r="AD1131" s="31"/>
      <c r="AE1131" s="32" t="str">
        <f t="shared" si="87"/>
        <v/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3523</v>
      </c>
      <c r="C1132" s="41" t="s">
        <v>3524</v>
      </c>
      <c r="D1132" s="39" t="s">
        <v>3418</v>
      </c>
      <c r="E1132" s="43">
        <v>46125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43">
        <v>46193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30"/>
      <c r="X1132" s="30"/>
      <c r="Y1132" s="30"/>
      <c r="Z1132" s="30"/>
      <c r="AA1132" s="30"/>
      <c r="AB1132" s="30"/>
      <c r="AC1132" s="27"/>
      <c r="AD1132" s="31"/>
      <c r="AE1132" s="32" t="str">
        <f t="shared" si="87"/>
        <v/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3525</v>
      </c>
      <c r="C1133" s="25" t="s">
        <v>3526</v>
      </c>
      <c r="D1133" s="23" t="s">
        <v>3418</v>
      </c>
      <c r="E1133" s="43">
        <v>46125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43">
        <v>46193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30"/>
      <c r="X1133" s="30"/>
      <c r="Y1133" s="30"/>
      <c r="Z1133" s="30"/>
      <c r="AA1133" s="30"/>
      <c r="AB1133" s="30"/>
      <c r="AC1133" s="27"/>
      <c r="AD1133" s="31"/>
      <c r="AE1133" s="32" t="str">
        <f t="shared" si="87"/>
        <v/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3527</v>
      </c>
      <c r="C1134" s="41" t="s">
        <v>3528</v>
      </c>
      <c r="D1134" s="39" t="s">
        <v>3418</v>
      </c>
      <c r="E1134" s="43">
        <v>46125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43">
        <v>46193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30"/>
      <c r="X1134" s="30"/>
      <c r="Y1134" s="30"/>
      <c r="Z1134" s="30"/>
      <c r="AA1134" s="30"/>
      <c r="AB1134" s="30"/>
      <c r="AC1134" s="27"/>
      <c r="AD1134" s="31"/>
      <c r="AE1134" s="32" t="str">
        <f t="shared" si="87"/>
        <v/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3529</v>
      </c>
      <c r="C1135" s="25" t="s">
        <v>3530</v>
      </c>
      <c r="D1135" s="23" t="s">
        <v>3418</v>
      </c>
      <c r="E1135" s="43">
        <v>46125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43">
        <v>46193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30"/>
      <c r="X1135" s="30"/>
      <c r="Y1135" s="30"/>
      <c r="Z1135" s="30"/>
      <c r="AA1135" s="30"/>
      <c r="AB1135" s="30"/>
      <c r="AC1135" s="27"/>
      <c r="AD1135" s="31"/>
      <c r="AE1135" s="32" t="str">
        <f t="shared" si="87"/>
        <v/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3531</v>
      </c>
      <c r="C1136" s="41" t="s">
        <v>3532</v>
      </c>
      <c r="D1136" s="39" t="s">
        <v>3418</v>
      </c>
      <c r="E1136" s="43">
        <v>46125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43">
        <v>46193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30"/>
      <c r="X1136" s="30"/>
      <c r="Y1136" s="30"/>
      <c r="Z1136" s="30"/>
      <c r="AA1136" s="30"/>
      <c r="AB1136" s="30"/>
      <c r="AC1136" s="27"/>
      <c r="AD1136" s="31"/>
      <c r="AE1136" s="32" t="str">
        <f t="shared" si="87"/>
        <v/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3533</v>
      </c>
      <c r="C1137" s="25" t="s">
        <v>3534</v>
      </c>
      <c r="D1137" s="23" t="s">
        <v>3418</v>
      </c>
      <c r="E1137" s="43">
        <v>46125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43">
        <v>46193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30"/>
      <c r="X1137" s="30"/>
      <c r="Y1137" s="30"/>
      <c r="Z1137" s="30"/>
      <c r="AA1137" s="30"/>
      <c r="AB1137" s="30"/>
      <c r="AC1137" s="27"/>
      <c r="AD1137" s="31"/>
      <c r="AE1137" s="32" t="str">
        <f t="shared" si="87"/>
        <v/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3535</v>
      </c>
      <c r="C1138" s="41" t="s">
        <v>3536</v>
      </c>
      <c r="D1138" s="39" t="s">
        <v>3418</v>
      </c>
      <c r="E1138" s="43">
        <v>46125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43">
        <v>46193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30"/>
      <c r="X1138" s="30"/>
      <c r="Y1138" s="30"/>
      <c r="Z1138" s="30"/>
      <c r="AA1138" s="30"/>
      <c r="AB1138" s="30"/>
      <c r="AC1138" s="27"/>
      <c r="AD1138" s="31"/>
      <c r="AE1138" s="32" t="str">
        <f t="shared" si="87"/>
        <v/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3537</v>
      </c>
      <c r="C1139" s="25" t="s">
        <v>3538</v>
      </c>
      <c r="D1139" s="23" t="s">
        <v>3418</v>
      </c>
      <c r="E1139" s="43">
        <v>46125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43">
        <v>46193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30"/>
      <c r="X1139" s="30"/>
      <c r="Y1139" s="30"/>
      <c r="Z1139" s="30"/>
      <c r="AA1139" s="30"/>
      <c r="AB1139" s="30"/>
      <c r="AC1139" s="27"/>
      <c r="AD1139" s="31"/>
      <c r="AE1139" s="32" t="str">
        <f t="shared" si="87"/>
        <v/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3539</v>
      </c>
      <c r="C1140" s="41" t="s">
        <v>3540</v>
      </c>
      <c r="D1140" s="39" t="s">
        <v>3418</v>
      </c>
      <c r="E1140" s="43">
        <v>46125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43">
        <v>46193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30"/>
      <c r="X1140" s="30"/>
      <c r="Y1140" s="30"/>
      <c r="Z1140" s="30"/>
      <c r="AA1140" s="30"/>
      <c r="AB1140" s="30"/>
      <c r="AC1140" s="27"/>
      <c r="AD1140" s="31"/>
      <c r="AE1140" s="32" t="str">
        <f t="shared" si="87"/>
        <v/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3541</v>
      </c>
      <c r="C1141" s="25" t="s">
        <v>3542</v>
      </c>
      <c r="D1141" s="23" t="s">
        <v>3418</v>
      </c>
      <c r="E1141" s="43">
        <v>46125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43">
        <v>46193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30"/>
      <c r="X1141" s="30"/>
      <c r="Y1141" s="30"/>
      <c r="Z1141" s="30"/>
      <c r="AA1141" s="30"/>
      <c r="AB1141" s="30"/>
      <c r="AC1141" s="27"/>
      <c r="AD1141" s="31"/>
      <c r="AE1141" s="32" t="str">
        <f t="shared" si="87"/>
        <v/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3543</v>
      </c>
      <c r="C1142" s="41" t="s">
        <v>3544</v>
      </c>
      <c r="D1142" s="39" t="s">
        <v>3418</v>
      </c>
      <c r="E1142" s="43">
        <v>46125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43">
        <v>46193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30"/>
      <c r="X1142" s="30"/>
      <c r="Y1142" s="30"/>
      <c r="Z1142" s="30"/>
      <c r="AA1142" s="30"/>
      <c r="AB1142" s="30"/>
      <c r="AC1142" s="27"/>
      <c r="AD1142" s="31"/>
      <c r="AE1142" s="32" t="str">
        <f t="shared" si="87"/>
        <v/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3545</v>
      </c>
      <c r="C1143" s="25" t="s">
        <v>3546</v>
      </c>
      <c r="D1143" s="23" t="s">
        <v>3418</v>
      </c>
      <c r="E1143" s="43">
        <v>46125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43">
        <v>46193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30"/>
      <c r="X1143" s="30"/>
      <c r="Y1143" s="30"/>
      <c r="Z1143" s="30"/>
      <c r="AA1143" s="30"/>
      <c r="AB1143" s="30"/>
      <c r="AC1143" s="27"/>
      <c r="AD1143" s="31"/>
      <c r="AE1143" s="32" t="str">
        <f t="shared" si="87"/>
        <v/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3547</v>
      </c>
      <c r="C1144" s="41" t="s">
        <v>3548</v>
      </c>
      <c r="D1144" s="39" t="s">
        <v>3418</v>
      </c>
      <c r="E1144" s="43">
        <v>46125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43">
        <v>46193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30"/>
      <c r="X1144" s="30"/>
      <c r="Y1144" s="30"/>
      <c r="Z1144" s="30"/>
      <c r="AA1144" s="30"/>
      <c r="AB1144" s="30"/>
      <c r="AC1144" s="27"/>
      <c r="AD1144" s="31"/>
      <c r="AE1144" s="32" t="str">
        <f t="shared" si="87"/>
        <v/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3549</v>
      </c>
      <c r="C1145" s="25" t="s">
        <v>3550</v>
      </c>
      <c r="D1145" s="23" t="s">
        <v>3418</v>
      </c>
      <c r="E1145" s="43">
        <v>46125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43">
        <v>46193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30"/>
      <c r="X1145" s="30"/>
      <c r="Y1145" s="30"/>
      <c r="Z1145" s="30"/>
      <c r="AA1145" s="30"/>
      <c r="AB1145" s="30"/>
      <c r="AC1145" s="27"/>
      <c r="AD1145" s="31"/>
      <c r="AE1145" s="32" t="str">
        <f t="shared" si="87"/>
        <v/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3551</v>
      </c>
      <c r="C1146" s="41" t="s">
        <v>3552</v>
      </c>
      <c r="D1146" s="39" t="s">
        <v>3418</v>
      </c>
      <c r="E1146" s="43">
        <v>46125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43">
        <v>46193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30"/>
      <c r="X1146" s="30"/>
      <c r="Y1146" s="30"/>
      <c r="Z1146" s="30"/>
      <c r="AA1146" s="30"/>
      <c r="AB1146" s="30"/>
      <c r="AC1146" s="27"/>
      <c r="AD1146" s="31"/>
      <c r="AE1146" s="32" t="str">
        <f t="shared" si="87"/>
        <v/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3553</v>
      </c>
      <c r="C1147" s="25" t="s">
        <v>3554</v>
      </c>
      <c r="D1147" s="23" t="s">
        <v>3418</v>
      </c>
      <c r="E1147" s="43">
        <v>46125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43">
        <v>46193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30"/>
      <c r="X1147" s="30"/>
      <c r="Y1147" s="30"/>
      <c r="Z1147" s="30"/>
      <c r="AA1147" s="30"/>
      <c r="AB1147" s="30"/>
      <c r="AC1147" s="27"/>
      <c r="AD1147" s="31"/>
      <c r="AE1147" s="32" t="str">
        <f t="shared" si="87"/>
        <v/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3555</v>
      </c>
      <c r="C1148" s="41" t="s">
        <v>3556</v>
      </c>
      <c r="D1148" s="39" t="s">
        <v>3418</v>
      </c>
      <c r="E1148" s="43">
        <v>46125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43">
        <v>46193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30"/>
      <c r="X1148" s="30"/>
      <c r="Y1148" s="30"/>
      <c r="Z1148" s="30"/>
      <c r="AA1148" s="30"/>
      <c r="AB1148" s="30"/>
      <c r="AC1148" s="27"/>
      <c r="AD1148" s="31"/>
      <c r="AE1148" s="32" t="str">
        <f t="shared" si="87"/>
        <v/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3557</v>
      </c>
      <c r="C1149" s="25" t="s">
        <v>3558</v>
      </c>
      <c r="D1149" s="23" t="s">
        <v>3418</v>
      </c>
      <c r="E1149" s="43">
        <v>46125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43">
        <v>46193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30"/>
      <c r="X1149" s="30"/>
      <c r="Y1149" s="30"/>
      <c r="Z1149" s="30"/>
      <c r="AA1149" s="30"/>
      <c r="AB1149" s="30"/>
      <c r="AC1149" s="27"/>
      <c r="AD1149" s="31"/>
      <c r="AE1149" s="32" t="str">
        <f t="shared" si="87"/>
        <v/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3559</v>
      </c>
      <c r="C1150" s="41" t="s">
        <v>3560</v>
      </c>
      <c r="D1150" s="39" t="s">
        <v>3418</v>
      </c>
      <c r="E1150" s="43">
        <v>46125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43">
        <v>46193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30"/>
      <c r="X1150" s="30"/>
      <c r="Y1150" s="30"/>
      <c r="Z1150" s="30"/>
      <c r="AA1150" s="30"/>
      <c r="AB1150" s="30"/>
      <c r="AC1150" s="27"/>
      <c r="AD1150" s="31"/>
      <c r="AE1150" s="32" t="str">
        <f t="shared" si="87"/>
        <v/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3561</v>
      </c>
      <c r="C1151" s="25" t="s">
        <v>3562</v>
      </c>
      <c r="D1151" s="23" t="s">
        <v>3418</v>
      </c>
      <c r="E1151" s="43">
        <v>46125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43">
        <v>46193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30"/>
      <c r="X1151" s="30"/>
      <c r="Y1151" s="30"/>
      <c r="Z1151" s="30"/>
      <c r="AA1151" s="30"/>
      <c r="AB1151" s="30"/>
      <c r="AC1151" s="27"/>
      <c r="AD1151" s="31"/>
      <c r="AE1151" s="32" t="str">
        <f t="shared" si="87"/>
        <v/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3563</v>
      </c>
      <c r="C1152" s="41" t="s">
        <v>3564</v>
      </c>
      <c r="D1152" s="39" t="s">
        <v>3418</v>
      </c>
      <c r="E1152" s="43">
        <v>46125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43">
        <v>46193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30"/>
      <c r="X1152" s="30"/>
      <c r="Y1152" s="30"/>
      <c r="Z1152" s="30"/>
      <c r="AA1152" s="30"/>
      <c r="AB1152" s="30"/>
      <c r="AC1152" s="27"/>
      <c r="AD1152" s="31"/>
      <c r="AE1152" s="32" t="str">
        <f t="shared" si="87"/>
        <v/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3565</v>
      </c>
      <c r="C1153" s="25" t="s">
        <v>3566</v>
      </c>
      <c r="D1153" s="23" t="s">
        <v>3418</v>
      </c>
      <c r="E1153" s="43">
        <v>46125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43">
        <v>46193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30"/>
      <c r="X1153" s="30"/>
      <c r="Y1153" s="30"/>
      <c r="Z1153" s="30"/>
      <c r="AA1153" s="30"/>
      <c r="AB1153" s="30"/>
      <c r="AC1153" s="27"/>
      <c r="AD1153" s="31"/>
      <c r="AE1153" s="32" t="str">
        <f t="shared" si="87"/>
        <v/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3567</v>
      </c>
      <c r="C1154" s="41" t="s">
        <v>3568</v>
      </c>
      <c r="D1154" s="39" t="s">
        <v>3418</v>
      </c>
      <c r="E1154" s="43">
        <v>46125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43">
        <v>46193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30"/>
      <c r="X1154" s="30"/>
      <c r="Y1154" s="30"/>
      <c r="Z1154" s="30"/>
      <c r="AA1154" s="30"/>
      <c r="AB1154" s="30"/>
      <c r="AC1154" s="27"/>
      <c r="AD1154" s="31"/>
      <c r="AE1154" s="32" t="str">
        <f t="shared" si="87"/>
        <v/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3569</v>
      </c>
      <c r="C1155" s="25" t="s">
        <v>3570</v>
      </c>
      <c r="D1155" s="23" t="s">
        <v>3418</v>
      </c>
      <c r="E1155" s="43">
        <v>46125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43">
        <v>46193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30"/>
      <c r="X1155" s="30"/>
      <c r="Y1155" s="30"/>
      <c r="Z1155" s="30"/>
      <c r="AA1155" s="30"/>
      <c r="AB1155" s="30"/>
      <c r="AC1155" s="27"/>
      <c r="AD1155" s="31"/>
      <c r="AE1155" s="32" t="str">
        <f t="shared" si="87"/>
        <v/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3571</v>
      </c>
      <c r="C1156" s="41" t="s">
        <v>3572</v>
      </c>
      <c r="D1156" s="39" t="s">
        <v>3418</v>
      </c>
      <c r="E1156" s="43">
        <v>46125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43">
        <v>46193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30"/>
      <c r="X1156" s="30"/>
      <c r="Y1156" s="30"/>
      <c r="Z1156" s="30"/>
      <c r="AA1156" s="30"/>
      <c r="AB1156" s="30"/>
      <c r="AC1156" s="27"/>
      <c r="AD1156" s="31"/>
      <c r="AE1156" s="32" t="str">
        <f t="shared" si="87"/>
        <v/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3573</v>
      </c>
      <c r="C1157" s="25" t="s">
        <v>3574</v>
      </c>
      <c r="D1157" s="23" t="s">
        <v>3418</v>
      </c>
      <c r="E1157" s="43">
        <v>46125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43">
        <v>46193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30"/>
      <c r="X1157" s="30"/>
      <c r="Y1157" s="30"/>
      <c r="Z1157" s="30"/>
      <c r="AA1157" s="30"/>
      <c r="AB1157" s="30"/>
      <c r="AC1157" s="27"/>
      <c r="AD1157" s="31"/>
      <c r="AE1157" s="32" t="str">
        <f t="shared" ref="AE1157:AE1220" si="92">IF(W1157="","",IF(Z1157="Yes","❌ Disc",IF(Y1157="No","⚠ Missing",IF(AB1157="Yes","✓ OK","⚠ Check"))))</f>
        <v/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3575</v>
      </c>
      <c r="C1158" s="41" t="s">
        <v>3576</v>
      </c>
      <c r="D1158" s="39" t="s">
        <v>3418</v>
      </c>
      <c r="E1158" s="43">
        <v>46125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43">
        <v>46193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30"/>
      <c r="X1158" s="30"/>
      <c r="Y1158" s="30"/>
      <c r="Z1158" s="30"/>
      <c r="AA1158" s="30"/>
      <c r="AB1158" s="30"/>
      <c r="AC1158" s="27"/>
      <c r="AD1158" s="31"/>
      <c r="AE1158" s="32" t="str">
        <f t="shared" si="92"/>
        <v/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3577</v>
      </c>
      <c r="C1159" s="25" t="s">
        <v>3578</v>
      </c>
      <c r="D1159" s="23" t="s">
        <v>3418</v>
      </c>
      <c r="E1159" s="43">
        <v>46125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43">
        <v>46193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30"/>
      <c r="X1159" s="30"/>
      <c r="Y1159" s="30"/>
      <c r="Z1159" s="30"/>
      <c r="AA1159" s="30"/>
      <c r="AB1159" s="30"/>
      <c r="AC1159" s="27"/>
      <c r="AD1159" s="31"/>
      <c r="AE1159" s="32" t="str">
        <f t="shared" si="92"/>
        <v/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3579</v>
      </c>
      <c r="C1160" s="41" t="s">
        <v>3580</v>
      </c>
      <c r="D1160" s="39" t="s">
        <v>3418</v>
      </c>
      <c r="E1160" s="43">
        <v>46125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43">
        <v>46193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30"/>
      <c r="X1160" s="30"/>
      <c r="Y1160" s="30"/>
      <c r="Z1160" s="30"/>
      <c r="AA1160" s="30"/>
      <c r="AB1160" s="30"/>
      <c r="AC1160" s="27"/>
      <c r="AD1160" s="31"/>
      <c r="AE1160" s="32" t="str">
        <f t="shared" si="92"/>
        <v/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3581</v>
      </c>
      <c r="C1161" s="25" t="s">
        <v>3582</v>
      </c>
      <c r="D1161" s="23" t="s">
        <v>3418</v>
      </c>
      <c r="E1161" s="43">
        <v>46125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43">
        <v>46193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30"/>
      <c r="X1161" s="30"/>
      <c r="Y1161" s="30"/>
      <c r="Z1161" s="30"/>
      <c r="AA1161" s="30"/>
      <c r="AB1161" s="30"/>
      <c r="AC1161" s="27"/>
      <c r="AD1161" s="31"/>
      <c r="AE1161" s="32" t="str">
        <f t="shared" si="92"/>
        <v/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3583</v>
      </c>
      <c r="C1162" s="41" t="s">
        <v>3584</v>
      </c>
      <c r="D1162" s="39" t="s">
        <v>3418</v>
      </c>
      <c r="E1162" s="43">
        <v>46125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43">
        <v>46193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30"/>
      <c r="X1162" s="30"/>
      <c r="Y1162" s="30"/>
      <c r="Z1162" s="30"/>
      <c r="AA1162" s="30"/>
      <c r="AB1162" s="30"/>
      <c r="AC1162" s="27"/>
      <c r="AD1162" s="31"/>
      <c r="AE1162" s="32" t="str">
        <f t="shared" si="92"/>
        <v/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3585</v>
      </c>
      <c r="C1163" s="25" t="s">
        <v>3586</v>
      </c>
      <c r="D1163" s="23" t="s">
        <v>3418</v>
      </c>
      <c r="E1163" s="43">
        <v>46125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43">
        <v>46193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30"/>
      <c r="X1163" s="30"/>
      <c r="Y1163" s="30"/>
      <c r="Z1163" s="30"/>
      <c r="AA1163" s="30"/>
      <c r="AB1163" s="30"/>
      <c r="AC1163" s="27"/>
      <c r="AD1163" s="31"/>
      <c r="AE1163" s="32" t="str">
        <f t="shared" si="92"/>
        <v/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3587</v>
      </c>
      <c r="C1164" s="41" t="s">
        <v>3588</v>
      </c>
      <c r="D1164" s="39" t="s">
        <v>3418</v>
      </c>
      <c r="E1164" s="43">
        <v>46125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43">
        <v>46193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30"/>
      <c r="X1164" s="30"/>
      <c r="Y1164" s="30"/>
      <c r="Z1164" s="30"/>
      <c r="AA1164" s="30"/>
      <c r="AB1164" s="30"/>
      <c r="AC1164" s="27"/>
      <c r="AD1164" s="31"/>
      <c r="AE1164" s="32" t="str">
        <f t="shared" si="92"/>
        <v/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3589</v>
      </c>
      <c r="C1165" s="25" t="s">
        <v>3590</v>
      </c>
      <c r="D1165" s="23" t="s">
        <v>3418</v>
      </c>
      <c r="E1165" s="43">
        <v>46125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43">
        <v>46193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30"/>
      <c r="X1165" s="30"/>
      <c r="Y1165" s="30"/>
      <c r="Z1165" s="30"/>
      <c r="AA1165" s="30"/>
      <c r="AB1165" s="30"/>
      <c r="AC1165" s="27"/>
      <c r="AD1165" s="31"/>
      <c r="AE1165" s="32" t="str">
        <f t="shared" si="92"/>
        <v/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3591</v>
      </c>
      <c r="C1166" s="41" t="s">
        <v>3592</v>
      </c>
      <c r="D1166" s="39" t="s">
        <v>3418</v>
      </c>
      <c r="E1166" s="43">
        <v>46125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43">
        <v>46193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30"/>
      <c r="X1166" s="30"/>
      <c r="Y1166" s="30"/>
      <c r="Z1166" s="30"/>
      <c r="AA1166" s="30"/>
      <c r="AB1166" s="30"/>
      <c r="AC1166" s="27"/>
      <c r="AD1166" s="31"/>
      <c r="AE1166" s="32" t="str">
        <f t="shared" si="92"/>
        <v/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3593</v>
      </c>
      <c r="C1167" s="25" t="s">
        <v>3594</v>
      </c>
      <c r="D1167" s="23" t="s">
        <v>3418</v>
      </c>
      <c r="E1167" s="43">
        <v>46125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43">
        <v>46193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30"/>
      <c r="X1167" s="30"/>
      <c r="Y1167" s="30"/>
      <c r="Z1167" s="30"/>
      <c r="AA1167" s="30"/>
      <c r="AB1167" s="30"/>
      <c r="AC1167" s="27"/>
      <c r="AD1167" s="31"/>
      <c r="AE1167" s="32" t="str">
        <f t="shared" si="92"/>
        <v/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3595</v>
      </c>
      <c r="C1168" s="41" t="s">
        <v>3596</v>
      </c>
      <c r="D1168" s="39" t="s">
        <v>3418</v>
      </c>
      <c r="E1168" s="43">
        <v>46125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43">
        <v>46193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30"/>
      <c r="X1168" s="30"/>
      <c r="Y1168" s="30"/>
      <c r="Z1168" s="30"/>
      <c r="AA1168" s="30"/>
      <c r="AB1168" s="30"/>
      <c r="AC1168" s="27"/>
      <c r="AD1168" s="31"/>
      <c r="AE1168" s="32" t="str">
        <f t="shared" si="92"/>
        <v/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3597</v>
      </c>
      <c r="C1169" s="25" t="s">
        <v>3598</v>
      </c>
      <c r="D1169" s="23" t="s">
        <v>3418</v>
      </c>
      <c r="E1169" s="43">
        <v>46125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43">
        <v>46193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30"/>
      <c r="X1169" s="30"/>
      <c r="Y1169" s="30"/>
      <c r="Z1169" s="30"/>
      <c r="AA1169" s="30"/>
      <c r="AB1169" s="30"/>
      <c r="AC1169" s="27"/>
      <c r="AD1169" s="31"/>
      <c r="AE1169" s="32" t="str">
        <f t="shared" si="92"/>
        <v/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3599</v>
      </c>
      <c r="C1170" s="41" t="s">
        <v>3600</v>
      </c>
      <c r="D1170" s="39" t="s">
        <v>3418</v>
      </c>
      <c r="E1170" s="43">
        <v>46125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43">
        <v>46193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30"/>
      <c r="X1170" s="30"/>
      <c r="Y1170" s="30"/>
      <c r="Z1170" s="30"/>
      <c r="AA1170" s="30"/>
      <c r="AB1170" s="30"/>
      <c r="AC1170" s="27"/>
      <c r="AD1170" s="31"/>
      <c r="AE1170" s="32" t="str">
        <f t="shared" si="92"/>
        <v/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3601</v>
      </c>
      <c r="C1171" s="25" t="s">
        <v>3602</v>
      </c>
      <c r="D1171" s="23" t="s">
        <v>3418</v>
      </c>
      <c r="E1171" s="43">
        <v>46125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43">
        <v>46193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30"/>
      <c r="X1171" s="30"/>
      <c r="Y1171" s="30"/>
      <c r="Z1171" s="30"/>
      <c r="AA1171" s="30"/>
      <c r="AB1171" s="30"/>
      <c r="AC1171" s="27"/>
      <c r="AD1171" s="31"/>
      <c r="AE1171" s="32" t="str">
        <f t="shared" si="92"/>
        <v/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3603</v>
      </c>
      <c r="C1172" s="41" t="s">
        <v>3604</v>
      </c>
      <c r="D1172" s="39" t="s">
        <v>3418</v>
      </c>
      <c r="E1172" s="43">
        <v>46125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43">
        <v>46193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30"/>
      <c r="X1172" s="30"/>
      <c r="Y1172" s="30"/>
      <c r="Z1172" s="30"/>
      <c r="AA1172" s="30"/>
      <c r="AB1172" s="30"/>
      <c r="AC1172" s="27"/>
      <c r="AD1172" s="31"/>
      <c r="AE1172" s="32" t="str">
        <f t="shared" si="92"/>
        <v/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3605</v>
      </c>
      <c r="C1173" s="25" t="s">
        <v>3606</v>
      </c>
      <c r="D1173" s="23" t="s">
        <v>3418</v>
      </c>
      <c r="E1173" s="43">
        <v>46125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43">
        <v>46193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30"/>
      <c r="X1173" s="30"/>
      <c r="Y1173" s="30"/>
      <c r="Z1173" s="30"/>
      <c r="AA1173" s="30"/>
      <c r="AB1173" s="30"/>
      <c r="AC1173" s="27"/>
      <c r="AD1173" s="31"/>
      <c r="AE1173" s="32" t="str">
        <f t="shared" si="92"/>
        <v/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3607</v>
      </c>
      <c r="C1174" s="41" t="s">
        <v>3608</v>
      </c>
      <c r="D1174" s="39" t="s">
        <v>3418</v>
      </c>
      <c r="E1174" s="43">
        <v>46125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43">
        <v>46193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30"/>
      <c r="X1174" s="30"/>
      <c r="Y1174" s="30"/>
      <c r="Z1174" s="30"/>
      <c r="AA1174" s="30"/>
      <c r="AB1174" s="30"/>
      <c r="AC1174" s="27"/>
      <c r="AD1174" s="31"/>
      <c r="AE1174" s="32" t="str">
        <f t="shared" si="92"/>
        <v/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3609</v>
      </c>
      <c r="C1175" s="25" t="s">
        <v>3610</v>
      </c>
      <c r="D1175" s="23" t="s">
        <v>3418</v>
      </c>
      <c r="E1175" s="43">
        <v>46125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43">
        <v>46193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30"/>
      <c r="X1175" s="30"/>
      <c r="Y1175" s="30"/>
      <c r="Z1175" s="30"/>
      <c r="AA1175" s="30"/>
      <c r="AB1175" s="30"/>
      <c r="AC1175" s="27"/>
      <c r="AD1175" s="31"/>
      <c r="AE1175" s="32" t="str">
        <f t="shared" si="92"/>
        <v/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3611</v>
      </c>
      <c r="C1176" s="41" t="s">
        <v>3612</v>
      </c>
      <c r="D1176" s="39" t="s">
        <v>3418</v>
      </c>
      <c r="E1176" s="43">
        <v>46125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43">
        <v>46193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30"/>
      <c r="X1176" s="30"/>
      <c r="Y1176" s="30"/>
      <c r="Z1176" s="30"/>
      <c r="AA1176" s="30"/>
      <c r="AB1176" s="30"/>
      <c r="AC1176" s="27"/>
      <c r="AD1176" s="31"/>
      <c r="AE1176" s="32" t="str">
        <f t="shared" si="92"/>
        <v/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3613</v>
      </c>
      <c r="C1177" s="25" t="s">
        <v>3614</v>
      </c>
      <c r="D1177" s="23" t="s">
        <v>3418</v>
      </c>
      <c r="E1177" s="43">
        <v>46125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43">
        <v>46193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30"/>
      <c r="X1177" s="30"/>
      <c r="Y1177" s="30"/>
      <c r="Z1177" s="30"/>
      <c r="AA1177" s="30"/>
      <c r="AB1177" s="30"/>
      <c r="AC1177" s="27"/>
      <c r="AD1177" s="31"/>
      <c r="AE1177" s="32" t="str">
        <f t="shared" si="92"/>
        <v/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3615</v>
      </c>
      <c r="C1178" s="41" t="s">
        <v>3616</v>
      </c>
      <c r="D1178" s="39" t="s">
        <v>3418</v>
      </c>
      <c r="E1178" s="43">
        <v>46125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43">
        <v>46193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30"/>
      <c r="X1178" s="30"/>
      <c r="Y1178" s="30"/>
      <c r="Z1178" s="30"/>
      <c r="AA1178" s="30"/>
      <c r="AB1178" s="30"/>
      <c r="AC1178" s="27"/>
      <c r="AD1178" s="31"/>
      <c r="AE1178" s="32" t="str">
        <f t="shared" si="92"/>
        <v/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3617</v>
      </c>
      <c r="C1179" s="25" t="s">
        <v>3618</v>
      </c>
      <c r="D1179" s="23" t="s">
        <v>3418</v>
      </c>
      <c r="E1179" s="43">
        <v>46125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43">
        <v>46193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30"/>
      <c r="X1179" s="30"/>
      <c r="Y1179" s="30"/>
      <c r="Z1179" s="30"/>
      <c r="AA1179" s="30"/>
      <c r="AB1179" s="30"/>
      <c r="AC1179" s="27"/>
      <c r="AD1179" s="31"/>
      <c r="AE1179" s="32" t="str">
        <f t="shared" si="92"/>
        <v/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3619</v>
      </c>
      <c r="C1180" s="41" t="s">
        <v>3620</v>
      </c>
      <c r="D1180" s="39" t="s">
        <v>3418</v>
      </c>
      <c r="E1180" s="43">
        <v>46125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43">
        <v>46193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30"/>
      <c r="X1180" s="30"/>
      <c r="Y1180" s="30"/>
      <c r="Z1180" s="30"/>
      <c r="AA1180" s="30"/>
      <c r="AB1180" s="30"/>
      <c r="AC1180" s="27"/>
      <c r="AD1180" s="31"/>
      <c r="AE1180" s="32" t="str">
        <f t="shared" si="92"/>
        <v/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3621</v>
      </c>
      <c r="C1181" s="25" t="s">
        <v>3622</v>
      </c>
      <c r="D1181" s="23" t="s">
        <v>3418</v>
      </c>
      <c r="E1181" s="43">
        <v>46125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43">
        <v>46193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30"/>
      <c r="X1181" s="30"/>
      <c r="Y1181" s="30"/>
      <c r="Z1181" s="30"/>
      <c r="AA1181" s="30"/>
      <c r="AB1181" s="30"/>
      <c r="AC1181" s="27"/>
      <c r="AD1181" s="31"/>
      <c r="AE1181" s="32" t="str">
        <f t="shared" si="92"/>
        <v/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3623</v>
      </c>
      <c r="C1182" s="41" t="s">
        <v>3624</v>
      </c>
      <c r="D1182" s="39" t="s">
        <v>3418</v>
      </c>
      <c r="E1182" s="43">
        <v>46125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43">
        <v>46193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30"/>
      <c r="X1182" s="30"/>
      <c r="Y1182" s="30"/>
      <c r="Z1182" s="30"/>
      <c r="AA1182" s="30"/>
      <c r="AB1182" s="30"/>
      <c r="AC1182" s="27"/>
      <c r="AD1182" s="31"/>
      <c r="AE1182" s="32" t="str">
        <f t="shared" si="92"/>
        <v/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3625</v>
      </c>
      <c r="C1183" s="25" t="s">
        <v>3626</v>
      </c>
      <c r="D1183" s="23" t="s">
        <v>3418</v>
      </c>
      <c r="E1183" s="43">
        <v>46125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43">
        <v>46193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30"/>
      <c r="X1183" s="30"/>
      <c r="Y1183" s="30"/>
      <c r="Z1183" s="30"/>
      <c r="AA1183" s="30"/>
      <c r="AB1183" s="30"/>
      <c r="AC1183" s="27"/>
      <c r="AD1183" s="31"/>
      <c r="AE1183" s="32" t="str">
        <f t="shared" si="92"/>
        <v/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3627</v>
      </c>
      <c r="C1184" s="41" t="s">
        <v>3628</v>
      </c>
      <c r="D1184" s="39" t="s">
        <v>3418</v>
      </c>
      <c r="E1184" s="43">
        <v>46125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43">
        <v>46193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30"/>
      <c r="X1184" s="30"/>
      <c r="Y1184" s="30"/>
      <c r="Z1184" s="30"/>
      <c r="AA1184" s="30"/>
      <c r="AB1184" s="30"/>
      <c r="AC1184" s="27"/>
      <c r="AD1184" s="31"/>
      <c r="AE1184" s="32" t="str">
        <f t="shared" si="92"/>
        <v/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3629</v>
      </c>
      <c r="C1185" s="25" t="s">
        <v>3630</v>
      </c>
      <c r="D1185" s="23" t="s">
        <v>3418</v>
      </c>
      <c r="E1185" s="43">
        <v>46125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43">
        <v>46193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30"/>
      <c r="X1185" s="30"/>
      <c r="Y1185" s="30"/>
      <c r="Z1185" s="30"/>
      <c r="AA1185" s="30"/>
      <c r="AB1185" s="30"/>
      <c r="AC1185" s="27"/>
      <c r="AD1185" s="31"/>
      <c r="AE1185" s="32" t="str">
        <f t="shared" si="92"/>
        <v/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3631</v>
      </c>
      <c r="C1186" s="41" t="s">
        <v>3632</v>
      </c>
      <c r="D1186" s="39" t="s">
        <v>3418</v>
      </c>
      <c r="E1186" s="43">
        <v>46125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43">
        <v>46193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30"/>
      <c r="X1186" s="30"/>
      <c r="Y1186" s="30"/>
      <c r="Z1186" s="30"/>
      <c r="AA1186" s="30"/>
      <c r="AB1186" s="30"/>
      <c r="AC1186" s="27"/>
      <c r="AD1186" s="31"/>
      <c r="AE1186" s="32" t="str">
        <f t="shared" si="92"/>
        <v/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3633</v>
      </c>
      <c r="C1187" s="25" t="s">
        <v>3634</v>
      </c>
      <c r="D1187" s="23" t="s">
        <v>3418</v>
      </c>
      <c r="E1187" s="43">
        <v>46125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43">
        <v>46193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30"/>
      <c r="X1187" s="30"/>
      <c r="Y1187" s="30"/>
      <c r="Z1187" s="30"/>
      <c r="AA1187" s="30"/>
      <c r="AB1187" s="30"/>
      <c r="AC1187" s="27"/>
      <c r="AD1187" s="31"/>
      <c r="AE1187" s="32" t="str">
        <f t="shared" si="92"/>
        <v/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3635</v>
      </c>
      <c r="C1188" s="41" t="s">
        <v>3636</v>
      </c>
      <c r="D1188" s="39" t="s">
        <v>3418</v>
      </c>
      <c r="E1188" s="43">
        <v>46125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43">
        <v>46193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30"/>
      <c r="X1188" s="30"/>
      <c r="Y1188" s="30"/>
      <c r="Z1188" s="30"/>
      <c r="AA1188" s="30"/>
      <c r="AB1188" s="30"/>
      <c r="AC1188" s="27"/>
      <c r="AD1188" s="31"/>
      <c r="AE1188" s="32" t="str">
        <f t="shared" si="92"/>
        <v/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3637</v>
      </c>
      <c r="C1189" s="25" t="s">
        <v>3638</v>
      </c>
      <c r="D1189" s="23" t="s">
        <v>3418</v>
      </c>
      <c r="E1189" s="43">
        <v>46125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43">
        <v>46193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30"/>
      <c r="X1189" s="30"/>
      <c r="Y1189" s="30"/>
      <c r="Z1189" s="30"/>
      <c r="AA1189" s="30"/>
      <c r="AB1189" s="30"/>
      <c r="AC1189" s="27"/>
      <c r="AD1189" s="31"/>
      <c r="AE1189" s="32" t="str">
        <f t="shared" si="92"/>
        <v/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3639</v>
      </c>
      <c r="C1190" s="41" t="s">
        <v>3640</v>
      </c>
      <c r="D1190" s="39" t="s">
        <v>3418</v>
      </c>
      <c r="E1190" s="43">
        <v>46125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43">
        <v>46193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30"/>
      <c r="X1190" s="30"/>
      <c r="Y1190" s="30"/>
      <c r="Z1190" s="30"/>
      <c r="AA1190" s="30"/>
      <c r="AB1190" s="30"/>
      <c r="AC1190" s="27"/>
      <c r="AD1190" s="31"/>
      <c r="AE1190" s="32" t="str">
        <f t="shared" si="92"/>
        <v/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3641</v>
      </c>
      <c r="C1191" s="25" t="s">
        <v>3642</v>
      </c>
      <c r="D1191" s="23" t="s">
        <v>3418</v>
      </c>
      <c r="E1191" s="43">
        <v>46125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43">
        <v>46193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30"/>
      <c r="X1191" s="30"/>
      <c r="Y1191" s="30"/>
      <c r="Z1191" s="30"/>
      <c r="AA1191" s="30"/>
      <c r="AB1191" s="30"/>
      <c r="AC1191" s="27"/>
      <c r="AD1191" s="31"/>
      <c r="AE1191" s="32" t="str">
        <f t="shared" si="92"/>
        <v/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3643</v>
      </c>
      <c r="C1192" s="41" t="s">
        <v>3644</v>
      </c>
      <c r="D1192" s="39" t="s">
        <v>3418</v>
      </c>
      <c r="E1192" s="43">
        <v>46125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43">
        <v>46193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30"/>
      <c r="X1192" s="30"/>
      <c r="Y1192" s="30"/>
      <c r="Z1192" s="30"/>
      <c r="AA1192" s="30"/>
      <c r="AB1192" s="30"/>
      <c r="AC1192" s="27"/>
      <c r="AD1192" s="31"/>
      <c r="AE1192" s="32" t="str">
        <f t="shared" si="92"/>
        <v/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3645</v>
      </c>
      <c r="C1193" s="25" t="s">
        <v>3646</v>
      </c>
      <c r="D1193" s="23" t="s">
        <v>3418</v>
      </c>
      <c r="E1193" s="43">
        <v>46125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43">
        <v>46193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30"/>
      <c r="X1193" s="30"/>
      <c r="Y1193" s="30"/>
      <c r="Z1193" s="30"/>
      <c r="AA1193" s="30"/>
      <c r="AB1193" s="30"/>
      <c r="AC1193" s="27"/>
      <c r="AD1193" s="31"/>
      <c r="AE1193" s="32" t="str">
        <f t="shared" si="92"/>
        <v/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3647</v>
      </c>
      <c r="C1194" s="41" t="s">
        <v>3648</v>
      </c>
      <c r="D1194" s="39" t="s">
        <v>3418</v>
      </c>
      <c r="E1194" s="43">
        <v>46125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43">
        <v>46193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30"/>
      <c r="X1194" s="30"/>
      <c r="Y1194" s="30"/>
      <c r="Z1194" s="30"/>
      <c r="AA1194" s="30"/>
      <c r="AB1194" s="30"/>
      <c r="AC1194" s="27"/>
      <c r="AD1194" s="31"/>
      <c r="AE1194" s="32" t="str">
        <f t="shared" si="92"/>
        <v/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3649</v>
      </c>
      <c r="C1195" s="25" t="s">
        <v>3650</v>
      </c>
      <c r="D1195" s="23" t="s">
        <v>3418</v>
      </c>
      <c r="E1195" s="43">
        <v>46125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43">
        <v>46193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30"/>
      <c r="X1195" s="30"/>
      <c r="Y1195" s="30"/>
      <c r="Z1195" s="30"/>
      <c r="AA1195" s="30"/>
      <c r="AB1195" s="30"/>
      <c r="AC1195" s="27"/>
      <c r="AD1195" s="31"/>
      <c r="AE1195" s="32" t="str">
        <f t="shared" si="92"/>
        <v/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3651</v>
      </c>
      <c r="C1196" s="41" t="s">
        <v>3652</v>
      </c>
      <c r="D1196" s="39" t="s">
        <v>3418</v>
      </c>
      <c r="E1196" s="43">
        <v>46125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43">
        <v>46193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30"/>
      <c r="X1196" s="30"/>
      <c r="Y1196" s="30"/>
      <c r="Z1196" s="30"/>
      <c r="AA1196" s="30"/>
      <c r="AB1196" s="30"/>
      <c r="AC1196" s="27"/>
      <c r="AD1196" s="31"/>
      <c r="AE1196" s="32" t="str">
        <f t="shared" si="92"/>
        <v/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3653</v>
      </c>
      <c r="C1197" s="25" t="s">
        <v>3654</v>
      </c>
      <c r="D1197" s="23" t="s">
        <v>3418</v>
      </c>
      <c r="E1197" s="43">
        <v>46125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43">
        <v>46193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30"/>
      <c r="X1197" s="30"/>
      <c r="Y1197" s="30"/>
      <c r="Z1197" s="30"/>
      <c r="AA1197" s="30"/>
      <c r="AB1197" s="30"/>
      <c r="AC1197" s="27"/>
      <c r="AD1197" s="31"/>
      <c r="AE1197" s="32" t="str">
        <f t="shared" si="92"/>
        <v/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3655</v>
      </c>
      <c r="C1198" s="41" t="s">
        <v>3656</v>
      </c>
      <c r="D1198" s="39" t="s">
        <v>3418</v>
      </c>
      <c r="E1198" s="43">
        <v>46125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43">
        <v>46193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30"/>
      <c r="X1198" s="30"/>
      <c r="Y1198" s="30"/>
      <c r="Z1198" s="30"/>
      <c r="AA1198" s="30"/>
      <c r="AB1198" s="30"/>
      <c r="AC1198" s="27"/>
      <c r="AD1198" s="31"/>
      <c r="AE1198" s="32" t="str">
        <f t="shared" si="92"/>
        <v/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3657</v>
      </c>
      <c r="C1199" s="25" t="s">
        <v>3658</v>
      </c>
      <c r="D1199" s="23" t="s">
        <v>3418</v>
      </c>
      <c r="E1199" s="43">
        <v>46125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43">
        <v>46193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30"/>
      <c r="X1199" s="30"/>
      <c r="Y1199" s="30"/>
      <c r="Z1199" s="30"/>
      <c r="AA1199" s="30"/>
      <c r="AB1199" s="30"/>
      <c r="AC1199" s="27"/>
      <c r="AD1199" s="31"/>
      <c r="AE1199" s="32" t="str">
        <f t="shared" si="92"/>
        <v/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3659</v>
      </c>
      <c r="C1200" s="41" t="s">
        <v>3660</v>
      </c>
      <c r="D1200" s="39" t="s">
        <v>3418</v>
      </c>
      <c r="E1200" s="43">
        <v>46125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43">
        <v>46193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30"/>
      <c r="X1200" s="30"/>
      <c r="Y1200" s="30"/>
      <c r="Z1200" s="30"/>
      <c r="AA1200" s="30"/>
      <c r="AB1200" s="30"/>
      <c r="AC1200" s="27"/>
      <c r="AD1200" s="31"/>
      <c r="AE1200" s="32" t="str">
        <f t="shared" si="92"/>
        <v/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3661</v>
      </c>
      <c r="C1201" s="25" t="s">
        <v>3662</v>
      </c>
      <c r="D1201" s="23" t="s">
        <v>3418</v>
      </c>
      <c r="E1201" s="43">
        <v>46125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43">
        <v>46193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30"/>
      <c r="X1201" s="30"/>
      <c r="Y1201" s="30"/>
      <c r="Z1201" s="30"/>
      <c r="AA1201" s="30"/>
      <c r="AB1201" s="30"/>
      <c r="AC1201" s="27"/>
      <c r="AD1201" s="31"/>
      <c r="AE1201" s="32" t="str">
        <f t="shared" si="92"/>
        <v/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3663</v>
      </c>
      <c r="C1202" s="41" t="s">
        <v>3664</v>
      </c>
      <c r="D1202" s="39" t="s">
        <v>3418</v>
      </c>
      <c r="E1202" s="43">
        <v>46125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43">
        <v>46193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30"/>
      <c r="X1202" s="30"/>
      <c r="Y1202" s="30"/>
      <c r="Z1202" s="30"/>
      <c r="AA1202" s="30"/>
      <c r="AB1202" s="30"/>
      <c r="AC1202" s="27"/>
      <c r="AD1202" s="31"/>
      <c r="AE1202" s="32" t="str">
        <f t="shared" si="92"/>
        <v/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3665</v>
      </c>
      <c r="C1203" s="25" t="s">
        <v>3666</v>
      </c>
      <c r="D1203" s="23" t="s">
        <v>3418</v>
      </c>
      <c r="E1203" s="43">
        <v>46125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43">
        <v>46193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30"/>
      <c r="X1203" s="30"/>
      <c r="Y1203" s="30"/>
      <c r="Z1203" s="30"/>
      <c r="AA1203" s="30"/>
      <c r="AB1203" s="30"/>
      <c r="AC1203" s="27"/>
      <c r="AD1203" s="31"/>
      <c r="AE1203" s="32" t="str">
        <f t="shared" si="92"/>
        <v/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3667</v>
      </c>
      <c r="C1204" s="41" t="s">
        <v>3668</v>
      </c>
      <c r="D1204" s="39" t="s">
        <v>3418</v>
      </c>
      <c r="E1204" s="43">
        <v>46125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43">
        <v>46193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30"/>
      <c r="X1204" s="30"/>
      <c r="Y1204" s="30"/>
      <c r="Z1204" s="30"/>
      <c r="AA1204" s="30"/>
      <c r="AB1204" s="30"/>
      <c r="AC1204" s="27"/>
      <c r="AD1204" s="31"/>
      <c r="AE1204" s="32" t="str">
        <f t="shared" si="92"/>
        <v/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3669</v>
      </c>
      <c r="C1205" s="25" t="s">
        <v>3670</v>
      </c>
      <c r="D1205" s="23" t="s">
        <v>3418</v>
      </c>
      <c r="E1205" s="43">
        <v>46125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43">
        <v>46193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30"/>
      <c r="X1205" s="30"/>
      <c r="Y1205" s="30"/>
      <c r="Z1205" s="30"/>
      <c r="AA1205" s="30"/>
      <c r="AB1205" s="30"/>
      <c r="AC1205" s="27"/>
      <c r="AD1205" s="31"/>
      <c r="AE1205" s="32" t="str">
        <f t="shared" si="92"/>
        <v/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3671</v>
      </c>
      <c r="C1206" s="41" t="s">
        <v>3672</v>
      </c>
      <c r="D1206" s="39" t="s">
        <v>3418</v>
      </c>
      <c r="E1206" s="43">
        <v>46125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43">
        <v>46193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30"/>
      <c r="X1206" s="30"/>
      <c r="Y1206" s="30"/>
      <c r="Z1206" s="30"/>
      <c r="AA1206" s="30"/>
      <c r="AB1206" s="30"/>
      <c r="AC1206" s="27"/>
      <c r="AD1206" s="31"/>
      <c r="AE1206" s="32" t="str">
        <f t="shared" si="92"/>
        <v/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3673</v>
      </c>
      <c r="C1207" s="25" t="s">
        <v>3674</v>
      </c>
      <c r="D1207" s="23" t="s">
        <v>3418</v>
      </c>
      <c r="E1207" s="43">
        <v>46125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43">
        <v>46193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30"/>
      <c r="X1207" s="30"/>
      <c r="Y1207" s="30"/>
      <c r="Z1207" s="30"/>
      <c r="AA1207" s="30"/>
      <c r="AB1207" s="30"/>
      <c r="AC1207" s="27"/>
      <c r="AD1207" s="31"/>
      <c r="AE1207" s="32" t="str">
        <f t="shared" si="92"/>
        <v/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3675</v>
      </c>
      <c r="C1208" s="41" t="s">
        <v>3676</v>
      </c>
      <c r="D1208" s="39" t="s">
        <v>3418</v>
      </c>
      <c r="E1208" s="43">
        <v>46125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43">
        <v>46193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30"/>
      <c r="X1208" s="30"/>
      <c r="Y1208" s="30"/>
      <c r="Z1208" s="30"/>
      <c r="AA1208" s="30"/>
      <c r="AB1208" s="30"/>
      <c r="AC1208" s="27"/>
      <c r="AD1208" s="31"/>
      <c r="AE1208" s="32" t="str">
        <f t="shared" si="92"/>
        <v/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3677</v>
      </c>
      <c r="C1209" s="25" t="s">
        <v>3678</v>
      </c>
      <c r="D1209" s="23" t="s">
        <v>3418</v>
      </c>
      <c r="E1209" s="43">
        <v>46125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43">
        <v>46193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30"/>
      <c r="X1209" s="30"/>
      <c r="Y1209" s="30"/>
      <c r="Z1209" s="30"/>
      <c r="AA1209" s="30"/>
      <c r="AB1209" s="30"/>
      <c r="AC1209" s="27"/>
      <c r="AD1209" s="31"/>
      <c r="AE1209" s="32" t="str">
        <f t="shared" si="92"/>
        <v/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3679</v>
      </c>
      <c r="C1210" s="41" t="s">
        <v>3680</v>
      </c>
      <c r="D1210" s="39" t="s">
        <v>3418</v>
      </c>
      <c r="E1210" s="43">
        <v>46125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43">
        <v>46193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30"/>
      <c r="X1210" s="30"/>
      <c r="Y1210" s="30"/>
      <c r="Z1210" s="30"/>
      <c r="AA1210" s="30"/>
      <c r="AB1210" s="30"/>
      <c r="AC1210" s="27"/>
      <c r="AD1210" s="31"/>
      <c r="AE1210" s="32" t="str">
        <f t="shared" si="92"/>
        <v/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3681</v>
      </c>
      <c r="C1211" s="25" t="s">
        <v>3682</v>
      </c>
      <c r="D1211" s="23" t="s">
        <v>3418</v>
      </c>
      <c r="E1211" s="43">
        <v>46125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43">
        <v>46193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30"/>
      <c r="X1211" s="30"/>
      <c r="Y1211" s="30"/>
      <c r="Z1211" s="30"/>
      <c r="AA1211" s="30"/>
      <c r="AB1211" s="30"/>
      <c r="AC1211" s="27"/>
      <c r="AD1211" s="31"/>
      <c r="AE1211" s="32" t="str">
        <f t="shared" si="92"/>
        <v/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3683</v>
      </c>
      <c r="C1212" s="41" t="s">
        <v>3684</v>
      </c>
      <c r="D1212" s="39" t="s">
        <v>3418</v>
      </c>
      <c r="E1212" s="43">
        <v>46125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43">
        <v>46193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30"/>
      <c r="X1212" s="30"/>
      <c r="Y1212" s="30"/>
      <c r="Z1212" s="30"/>
      <c r="AA1212" s="30"/>
      <c r="AB1212" s="30"/>
      <c r="AC1212" s="27"/>
      <c r="AD1212" s="31"/>
      <c r="AE1212" s="32" t="str">
        <f t="shared" si="92"/>
        <v/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3685</v>
      </c>
      <c r="C1213" s="25" t="s">
        <v>3686</v>
      </c>
      <c r="D1213" s="23" t="s">
        <v>3418</v>
      </c>
      <c r="E1213" s="43">
        <v>46125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43">
        <v>46193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30"/>
      <c r="X1213" s="30"/>
      <c r="Y1213" s="30"/>
      <c r="Z1213" s="30"/>
      <c r="AA1213" s="30"/>
      <c r="AB1213" s="30"/>
      <c r="AC1213" s="27"/>
      <c r="AD1213" s="31"/>
      <c r="AE1213" s="32" t="str">
        <f t="shared" si="92"/>
        <v/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3687</v>
      </c>
      <c r="C1214" s="41" t="s">
        <v>3688</v>
      </c>
      <c r="D1214" s="39" t="s">
        <v>3418</v>
      </c>
      <c r="E1214" s="43">
        <v>46125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43">
        <v>46193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30"/>
      <c r="X1214" s="30"/>
      <c r="Y1214" s="30"/>
      <c r="Z1214" s="30"/>
      <c r="AA1214" s="30"/>
      <c r="AB1214" s="30"/>
      <c r="AC1214" s="27"/>
      <c r="AD1214" s="31"/>
      <c r="AE1214" s="32" t="str">
        <f t="shared" si="92"/>
        <v/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3689</v>
      </c>
      <c r="C1215" s="25" t="s">
        <v>3690</v>
      </c>
      <c r="D1215" s="23" t="s">
        <v>3418</v>
      </c>
      <c r="E1215" s="43">
        <v>46125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43">
        <v>46193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30"/>
      <c r="X1215" s="30"/>
      <c r="Y1215" s="30"/>
      <c r="Z1215" s="30"/>
      <c r="AA1215" s="30"/>
      <c r="AB1215" s="30"/>
      <c r="AC1215" s="27"/>
      <c r="AD1215" s="31"/>
      <c r="AE1215" s="32" t="str">
        <f t="shared" si="92"/>
        <v/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3691</v>
      </c>
      <c r="C1216" s="41" t="s">
        <v>3692</v>
      </c>
      <c r="D1216" s="39" t="s">
        <v>3418</v>
      </c>
      <c r="E1216" s="43">
        <v>46125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43">
        <v>46193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30"/>
      <c r="X1216" s="30"/>
      <c r="Y1216" s="30"/>
      <c r="Z1216" s="30"/>
      <c r="AA1216" s="30"/>
      <c r="AB1216" s="30"/>
      <c r="AC1216" s="27"/>
      <c r="AD1216" s="31"/>
      <c r="AE1216" s="32" t="str">
        <f t="shared" si="92"/>
        <v/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3693</v>
      </c>
      <c r="C1217" s="25" t="s">
        <v>3694</v>
      </c>
      <c r="D1217" s="23" t="s">
        <v>3418</v>
      </c>
      <c r="E1217" s="43">
        <v>46125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43">
        <v>46193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30"/>
      <c r="X1217" s="30"/>
      <c r="Y1217" s="30"/>
      <c r="Z1217" s="30"/>
      <c r="AA1217" s="30"/>
      <c r="AB1217" s="30"/>
      <c r="AC1217" s="27"/>
      <c r="AD1217" s="31"/>
      <c r="AE1217" s="32" t="str">
        <f t="shared" si="92"/>
        <v/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3695</v>
      </c>
      <c r="C1218" s="41" t="s">
        <v>3696</v>
      </c>
      <c r="D1218" s="39" t="s">
        <v>3418</v>
      </c>
      <c r="E1218" s="43">
        <v>46125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43">
        <v>46193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30"/>
      <c r="X1218" s="30"/>
      <c r="Y1218" s="30"/>
      <c r="Z1218" s="30"/>
      <c r="AA1218" s="30"/>
      <c r="AB1218" s="30"/>
      <c r="AC1218" s="27"/>
      <c r="AD1218" s="31"/>
      <c r="AE1218" s="32" t="str">
        <f t="shared" si="92"/>
        <v/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3697</v>
      </c>
      <c r="C1219" s="25" t="s">
        <v>3698</v>
      </c>
      <c r="D1219" s="23" t="s">
        <v>3418</v>
      </c>
      <c r="E1219" s="43">
        <v>46125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43">
        <v>46193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30"/>
      <c r="X1219" s="30"/>
      <c r="Y1219" s="30"/>
      <c r="Z1219" s="30"/>
      <c r="AA1219" s="30"/>
      <c r="AB1219" s="30"/>
      <c r="AC1219" s="27"/>
      <c r="AD1219" s="31"/>
      <c r="AE1219" s="32" t="str">
        <f t="shared" si="92"/>
        <v/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3699</v>
      </c>
      <c r="C1220" s="41" t="s">
        <v>3700</v>
      </c>
      <c r="D1220" s="39" t="s">
        <v>3418</v>
      </c>
      <c r="E1220" s="43">
        <v>46125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43">
        <v>46193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30"/>
      <c r="X1220" s="30"/>
      <c r="Y1220" s="30"/>
      <c r="Z1220" s="30"/>
      <c r="AA1220" s="30"/>
      <c r="AB1220" s="30"/>
      <c r="AC1220" s="27"/>
      <c r="AD1220" s="31"/>
      <c r="AE1220" s="32" t="str">
        <f t="shared" si="92"/>
        <v/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3701</v>
      </c>
      <c r="C1221" s="25" t="s">
        <v>3702</v>
      </c>
      <c r="D1221" s="23" t="s">
        <v>3418</v>
      </c>
      <c r="E1221" s="43">
        <v>46125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43">
        <v>46193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30"/>
      <c r="X1221" s="30"/>
      <c r="Y1221" s="30"/>
      <c r="Z1221" s="30"/>
      <c r="AA1221" s="30"/>
      <c r="AB1221" s="30"/>
      <c r="AC1221" s="27"/>
      <c r="AD1221" s="31"/>
      <c r="AE1221" s="32" t="str">
        <f t="shared" ref="AE1221:AE1284" si="97">IF(W1221="","",IF(Z1221="Yes","❌ Disc",IF(Y1221="No","⚠ Missing",IF(AB1221="Yes","✓ OK","⚠ Check"))))</f>
        <v/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3703</v>
      </c>
      <c r="C1222" s="41" t="s">
        <v>3704</v>
      </c>
      <c r="D1222" s="39" t="s">
        <v>3418</v>
      </c>
      <c r="E1222" s="43">
        <v>46125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43">
        <v>46193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30"/>
      <c r="X1222" s="30"/>
      <c r="Y1222" s="30"/>
      <c r="Z1222" s="30"/>
      <c r="AA1222" s="30"/>
      <c r="AB1222" s="30"/>
      <c r="AC1222" s="27"/>
      <c r="AD1222" s="31"/>
      <c r="AE1222" s="32" t="str">
        <f t="shared" si="97"/>
        <v/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3705</v>
      </c>
      <c r="C1223" s="25" t="s">
        <v>3706</v>
      </c>
      <c r="D1223" s="23" t="s">
        <v>3418</v>
      </c>
      <c r="E1223" s="43">
        <v>46125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43">
        <v>46193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30"/>
      <c r="X1223" s="30"/>
      <c r="Y1223" s="30"/>
      <c r="Z1223" s="30"/>
      <c r="AA1223" s="30"/>
      <c r="AB1223" s="30"/>
      <c r="AC1223" s="27"/>
      <c r="AD1223" s="31"/>
      <c r="AE1223" s="32" t="str">
        <f t="shared" si="97"/>
        <v/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3707</v>
      </c>
      <c r="C1224" s="41" t="s">
        <v>3708</v>
      </c>
      <c r="D1224" s="39" t="s">
        <v>3418</v>
      </c>
      <c r="E1224" s="43">
        <v>46125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43">
        <v>46193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30"/>
      <c r="X1224" s="30"/>
      <c r="Y1224" s="30"/>
      <c r="Z1224" s="30"/>
      <c r="AA1224" s="30"/>
      <c r="AB1224" s="30"/>
      <c r="AC1224" s="27"/>
      <c r="AD1224" s="31"/>
      <c r="AE1224" s="32" t="str">
        <f t="shared" si="97"/>
        <v/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3709</v>
      </c>
      <c r="C1225" s="25" t="s">
        <v>3710</v>
      </c>
      <c r="D1225" s="23" t="s">
        <v>3418</v>
      </c>
      <c r="E1225" s="43">
        <v>46125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43">
        <v>46193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30"/>
      <c r="X1225" s="30"/>
      <c r="Y1225" s="30"/>
      <c r="Z1225" s="30"/>
      <c r="AA1225" s="30"/>
      <c r="AB1225" s="30"/>
      <c r="AC1225" s="27"/>
      <c r="AD1225" s="31"/>
      <c r="AE1225" s="32" t="str">
        <f t="shared" si="97"/>
        <v/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3711</v>
      </c>
      <c r="C1226" s="41" t="s">
        <v>3712</v>
      </c>
      <c r="D1226" s="39" t="s">
        <v>3418</v>
      </c>
      <c r="E1226" s="43">
        <v>46125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43">
        <v>46193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30"/>
      <c r="X1226" s="30"/>
      <c r="Y1226" s="30"/>
      <c r="Z1226" s="30"/>
      <c r="AA1226" s="30"/>
      <c r="AB1226" s="30"/>
      <c r="AC1226" s="27"/>
      <c r="AD1226" s="31"/>
      <c r="AE1226" s="32" t="str">
        <f t="shared" si="97"/>
        <v/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3713</v>
      </c>
      <c r="C1227" s="25" t="s">
        <v>3714</v>
      </c>
      <c r="D1227" s="23" t="s">
        <v>3418</v>
      </c>
      <c r="E1227" s="43">
        <v>46125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43">
        <v>46193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30"/>
      <c r="X1227" s="30"/>
      <c r="Y1227" s="30"/>
      <c r="Z1227" s="30"/>
      <c r="AA1227" s="30"/>
      <c r="AB1227" s="30"/>
      <c r="AC1227" s="27"/>
      <c r="AD1227" s="31"/>
      <c r="AE1227" s="32" t="str">
        <f t="shared" si="97"/>
        <v/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3715</v>
      </c>
      <c r="C1228" s="41" t="s">
        <v>3716</v>
      </c>
      <c r="D1228" s="39" t="s">
        <v>3418</v>
      </c>
      <c r="E1228" s="43">
        <v>46125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43">
        <v>46193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30"/>
      <c r="X1228" s="30"/>
      <c r="Y1228" s="30"/>
      <c r="Z1228" s="30"/>
      <c r="AA1228" s="30"/>
      <c r="AB1228" s="30"/>
      <c r="AC1228" s="27"/>
      <c r="AD1228" s="31"/>
      <c r="AE1228" s="32" t="str">
        <f t="shared" si="97"/>
        <v/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3717</v>
      </c>
      <c r="C1229" s="25" t="s">
        <v>3718</v>
      </c>
      <c r="D1229" s="23" t="s">
        <v>3418</v>
      </c>
      <c r="E1229" s="43">
        <v>46125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43">
        <v>46193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30"/>
      <c r="X1229" s="30"/>
      <c r="Y1229" s="30"/>
      <c r="Z1229" s="30"/>
      <c r="AA1229" s="30"/>
      <c r="AB1229" s="30"/>
      <c r="AC1229" s="27"/>
      <c r="AD1229" s="31"/>
      <c r="AE1229" s="32" t="str">
        <f t="shared" si="97"/>
        <v/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3719</v>
      </c>
      <c r="C1230" s="41" t="s">
        <v>3720</v>
      </c>
      <c r="D1230" s="39" t="s">
        <v>3418</v>
      </c>
      <c r="E1230" s="43">
        <v>46125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43">
        <v>46193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30"/>
      <c r="X1230" s="30"/>
      <c r="Y1230" s="30"/>
      <c r="Z1230" s="30"/>
      <c r="AA1230" s="30"/>
      <c r="AB1230" s="30"/>
      <c r="AC1230" s="27"/>
      <c r="AD1230" s="31"/>
      <c r="AE1230" s="32" t="str">
        <f t="shared" si="97"/>
        <v/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3721</v>
      </c>
      <c r="C1231" s="25" t="s">
        <v>3722</v>
      </c>
      <c r="D1231" s="23" t="s">
        <v>3418</v>
      </c>
      <c r="E1231" s="43">
        <v>46125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43">
        <v>46193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30"/>
      <c r="X1231" s="30"/>
      <c r="Y1231" s="30"/>
      <c r="Z1231" s="30"/>
      <c r="AA1231" s="30"/>
      <c r="AB1231" s="30"/>
      <c r="AC1231" s="27"/>
      <c r="AD1231" s="31"/>
      <c r="AE1231" s="32" t="str">
        <f t="shared" si="97"/>
        <v/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3723</v>
      </c>
      <c r="C1232" s="41" t="s">
        <v>3724</v>
      </c>
      <c r="D1232" s="39" t="s">
        <v>3418</v>
      </c>
      <c r="E1232" s="43">
        <v>46125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43">
        <v>46193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30"/>
      <c r="X1232" s="30"/>
      <c r="Y1232" s="30"/>
      <c r="Z1232" s="30"/>
      <c r="AA1232" s="30"/>
      <c r="AB1232" s="30"/>
      <c r="AC1232" s="27"/>
      <c r="AD1232" s="31"/>
      <c r="AE1232" s="32" t="str">
        <f t="shared" si="97"/>
        <v/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3725</v>
      </c>
      <c r="C1233" s="25" t="s">
        <v>3726</v>
      </c>
      <c r="D1233" s="23" t="s">
        <v>3418</v>
      </c>
      <c r="E1233" s="43">
        <v>46125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43">
        <v>46193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30"/>
      <c r="X1233" s="30"/>
      <c r="Y1233" s="30"/>
      <c r="Z1233" s="30"/>
      <c r="AA1233" s="30"/>
      <c r="AB1233" s="30"/>
      <c r="AC1233" s="27"/>
      <c r="AD1233" s="31"/>
      <c r="AE1233" s="32" t="str">
        <f t="shared" si="97"/>
        <v/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3727</v>
      </c>
      <c r="C1234" s="41" t="s">
        <v>3728</v>
      </c>
      <c r="D1234" s="39" t="s">
        <v>3418</v>
      </c>
      <c r="E1234" s="43">
        <v>46125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43">
        <v>46193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30"/>
      <c r="X1234" s="30"/>
      <c r="Y1234" s="30"/>
      <c r="Z1234" s="30"/>
      <c r="AA1234" s="30"/>
      <c r="AB1234" s="30"/>
      <c r="AC1234" s="27"/>
      <c r="AD1234" s="31"/>
      <c r="AE1234" s="32" t="str">
        <f t="shared" si="97"/>
        <v/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3729</v>
      </c>
      <c r="C1235" s="25" t="s">
        <v>3730</v>
      </c>
      <c r="D1235" s="23" t="s">
        <v>3418</v>
      </c>
      <c r="E1235" s="43">
        <v>46125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43">
        <v>46193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30"/>
      <c r="X1235" s="30"/>
      <c r="Y1235" s="30"/>
      <c r="Z1235" s="30"/>
      <c r="AA1235" s="30"/>
      <c r="AB1235" s="30"/>
      <c r="AC1235" s="27"/>
      <c r="AD1235" s="31"/>
      <c r="AE1235" s="32" t="str">
        <f t="shared" si="97"/>
        <v/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3731</v>
      </c>
      <c r="C1236" s="41" t="s">
        <v>3732</v>
      </c>
      <c r="D1236" s="39" t="s">
        <v>3418</v>
      </c>
      <c r="E1236" s="43">
        <v>46125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43">
        <v>46193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30"/>
      <c r="X1236" s="30"/>
      <c r="Y1236" s="30"/>
      <c r="Z1236" s="30"/>
      <c r="AA1236" s="30"/>
      <c r="AB1236" s="30"/>
      <c r="AC1236" s="27"/>
      <c r="AD1236" s="31"/>
      <c r="AE1236" s="32" t="str">
        <f t="shared" si="97"/>
        <v/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3733</v>
      </c>
      <c r="C1237" s="25" t="s">
        <v>3734</v>
      </c>
      <c r="D1237" s="23" t="s">
        <v>3418</v>
      </c>
      <c r="E1237" s="43">
        <v>46125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43">
        <v>46193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30"/>
      <c r="X1237" s="30"/>
      <c r="Y1237" s="30"/>
      <c r="Z1237" s="30"/>
      <c r="AA1237" s="30"/>
      <c r="AB1237" s="30"/>
      <c r="AC1237" s="27"/>
      <c r="AD1237" s="31"/>
      <c r="AE1237" s="32" t="str">
        <f t="shared" si="97"/>
        <v/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3735</v>
      </c>
      <c r="C1238" s="41" t="s">
        <v>3736</v>
      </c>
      <c r="D1238" s="39" t="s">
        <v>3418</v>
      </c>
      <c r="E1238" s="43">
        <v>46125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43">
        <v>46193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30"/>
      <c r="X1238" s="30"/>
      <c r="Y1238" s="30"/>
      <c r="Z1238" s="30"/>
      <c r="AA1238" s="30"/>
      <c r="AB1238" s="30"/>
      <c r="AC1238" s="27"/>
      <c r="AD1238" s="31"/>
      <c r="AE1238" s="32" t="str">
        <f t="shared" si="97"/>
        <v/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3737</v>
      </c>
      <c r="C1239" s="25" t="s">
        <v>3738</v>
      </c>
      <c r="D1239" s="23" t="s">
        <v>3418</v>
      </c>
      <c r="E1239" s="43">
        <v>46125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43">
        <v>46193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30"/>
      <c r="X1239" s="30"/>
      <c r="Y1239" s="30"/>
      <c r="Z1239" s="30"/>
      <c r="AA1239" s="30"/>
      <c r="AB1239" s="30"/>
      <c r="AC1239" s="27"/>
      <c r="AD1239" s="31"/>
      <c r="AE1239" s="32" t="str">
        <f t="shared" si="97"/>
        <v/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3739</v>
      </c>
      <c r="C1240" s="41" t="s">
        <v>3740</v>
      </c>
      <c r="D1240" s="39" t="s">
        <v>3418</v>
      </c>
      <c r="E1240" s="43">
        <v>46125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43">
        <v>46193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30"/>
      <c r="X1240" s="30"/>
      <c r="Y1240" s="30"/>
      <c r="Z1240" s="30"/>
      <c r="AA1240" s="30"/>
      <c r="AB1240" s="30"/>
      <c r="AC1240" s="27"/>
      <c r="AD1240" s="31"/>
      <c r="AE1240" s="32" t="str">
        <f t="shared" si="97"/>
        <v/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3741</v>
      </c>
      <c r="C1241" s="25" t="s">
        <v>3742</v>
      </c>
      <c r="D1241" s="23" t="s">
        <v>3418</v>
      </c>
      <c r="E1241" s="43">
        <v>46125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43">
        <v>46193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30"/>
      <c r="X1241" s="30"/>
      <c r="Y1241" s="30"/>
      <c r="Z1241" s="30"/>
      <c r="AA1241" s="30"/>
      <c r="AB1241" s="30"/>
      <c r="AC1241" s="27"/>
      <c r="AD1241" s="31"/>
      <c r="AE1241" s="32" t="str">
        <f t="shared" si="97"/>
        <v/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3743</v>
      </c>
      <c r="C1242" s="41" t="s">
        <v>3744</v>
      </c>
      <c r="D1242" s="39" t="s">
        <v>3418</v>
      </c>
      <c r="E1242" s="43">
        <v>46125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43">
        <v>46193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30"/>
      <c r="X1242" s="30"/>
      <c r="Y1242" s="30"/>
      <c r="Z1242" s="30"/>
      <c r="AA1242" s="30"/>
      <c r="AB1242" s="30"/>
      <c r="AC1242" s="27"/>
      <c r="AD1242" s="31"/>
      <c r="AE1242" s="32" t="str">
        <f t="shared" si="97"/>
        <v/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3745</v>
      </c>
      <c r="C1243" s="25" t="s">
        <v>3746</v>
      </c>
      <c r="D1243" s="23" t="s">
        <v>3418</v>
      </c>
      <c r="E1243" s="43">
        <v>46125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43">
        <v>46193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30"/>
      <c r="X1243" s="30"/>
      <c r="Y1243" s="30"/>
      <c r="Z1243" s="30"/>
      <c r="AA1243" s="30"/>
      <c r="AB1243" s="30"/>
      <c r="AC1243" s="27"/>
      <c r="AD1243" s="31"/>
      <c r="AE1243" s="32" t="str">
        <f t="shared" si="97"/>
        <v/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3747</v>
      </c>
      <c r="C1244" s="41" t="s">
        <v>3748</v>
      </c>
      <c r="D1244" s="39" t="s">
        <v>3418</v>
      </c>
      <c r="E1244" s="43">
        <v>46125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43">
        <v>46193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30"/>
      <c r="X1244" s="30"/>
      <c r="Y1244" s="30"/>
      <c r="Z1244" s="30"/>
      <c r="AA1244" s="30"/>
      <c r="AB1244" s="30"/>
      <c r="AC1244" s="27"/>
      <c r="AD1244" s="31"/>
      <c r="AE1244" s="32" t="str">
        <f t="shared" si="97"/>
        <v/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3749</v>
      </c>
      <c r="C1245" s="25" t="s">
        <v>3750</v>
      </c>
      <c r="D1245" s="23" t="s">
        <v>3418</v>
      </c>
      <c r="E1245" s="43">
        <v>46125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43">
        <v>46193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30"/>
      <c r="X1245" s="30"/>
      <c r="Y1245" s="30"/>
      <c r="Z1245" s="30"/>
      <c r="AA1245" s="30"/>
      <c r="AB1245" s="30"/>
      <c r="AC1245" s="27"/>
      <c r="AD1245" s="31"/>
      <c r="AE1245" s="32" t="str">
        <f t="shared" si="97"/>
        <v/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3751</v>
      </c>
      <c r="C1246" s="41" t="s">
        <v>3752</v>
      </c>
      <c r="D1246" s="39" t="s">
        <v>3418</v>
      </c>
      <c r="E1246" s="43">
        <v>46125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43">
        <v>46193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30"/>
      <c r="X1246" s="30"/>
      <c r="Y1246" s="30"/>
      <c r="Z1246" s="30"/>
      <c r="AA1246" s="30"/>
      <c r="AB1246" s="30"/>
      <c r="AC1246" s="27"/>
      <c r="AD1246" s="31"/>
      <c r="AE1246" s="32" t="str">
        <f t="shared" si="97"/>
        <v/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3753</v>
      </c>
      <c r="C1247" s="25" t="s">
        <v>3754</v>
      </c>
      <c r="D1247" s="23" t="s">
        <v>3418</v>
      </c>
      <c r="E1247" s="43">
        <v>46125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43">
        <v>46193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30"/>
      <c r="X1247" s="30"/>
      <c r="Y1247" s="30"/>
      <c r="Z1247" s="30"/>
      <c r="AA1247" s="30"/>
      <c r="AB1247" s="30"/>
      <c r="AC1247" s="27"/>
      <c r="AD1247" s="31"/>
      <c r="AE1247" s="32" t="str">
        <f t="shared" si="97"/>
        <v/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3755</v>
      </c>
      <c r="C1248" s="41" t="s">
        <v>3756</v>
      </c>
      <c r="D1248" s="39" t="s">
        <v>3418</v>
      </c>
      <c r="E1248" s="43">
        <v>46125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43">
        <v>46193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30"/>
      <c r="X1248" s="30"/>
      <c r="Y1248" s="30"/>
      <c r="Z1248" s="30"/>
      <c r="AA1248" s="30"/>
      <c r="AB1248" s="30"/>
      <c r="AC1248" s="27"/>
      <c r="AD1248" s="31"/>
      <c r="AE1248" s="32" t="str">
        <f t="shared" si="97"/>
        <v/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3757</v>
      </c>
      <c r="C1249" s="25" t="s">
        <v>3758</v>
      </c>
      <c r="D1249" s="23" t="s">
        <v>3418</v>
      </c>
      <c r="E1249" s="43">
        <v>46125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43">
        <v>46193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30"/>
      <c r="X1249" s="30"/>
      <c r="Y1249" s="30"/>
      <c r="Z1249" s="30"/>
      <c r="AA1249" s="30"/>
      <c r="AB1249" s="30"/>
      <c r="AC1249" s="27"/>
      <c r="AD1249" s="31"/>
      <c r="AE1249" s="32" t="str">
        <f t="shared" si="97"/>
        <v/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3759</v>
      </c>
      <c r="C1250" s="41" t="s">
        <v>3760</v>
      </c>
      <c r="D1250" s="39" t="s">
        <v>3418</v>
      </c>
      <c r="E1250" s="43">
        <v>46125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43">
        <v>46193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30"/>
      <c r="X1250" s="30"/>
      <c r="Y1250" s="30"/>
      <c r="Z1250" s="30"/>
      <c r="AA1250" s="30"/>
      <c r="AB1250" s="30"/>
      <c r="AC1250" s="27"/>
      <c r="AD1250" s="31"/>
      <c r="AE1250" s="32" t="str">
        <f t="shared" si="97"/>
        <v/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3761</v>
      </c>
      <c r="C1251" s="25" t="s">
        <v>3762</v>
      </c>
      <c r="D1251" s="23" t="s">
        <v>3418</v>
      </c>
      <c r="E1251" s="43">
        <v>46125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43">
        <v>46193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30"/>
      <c r="X1251" s="30"/>
      <c r="Y1251" s="30"/>
      <c r="Z1251" s="30"/>
      <c r="AA1251" s="30"/>
      <c r="AB1251" s="30"/>
      <c r="AC1251" s="27"/>
      <c r="AD1251" s="31"/>
      <c r="AE1251" s="32" t="str">
        <f t="shared" si="97"/>
        <v/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3763</v>
      </c>
      <c r="C1252" s="41" t="s">
        <v>3764</v>
      </c>
      <c r="D1252" s="39" t="s">
        <v>3418</v>
      </c>
      <c r="E1252" s="43">
        <v>46125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43">
        <v>46193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30"/>
      <c r="X1252" s="30"/>
      <c r="Y1252" s="30"/>
      <c r="Z1252" s="30"/>
      <c r="AA1252" s="30"/>
      <c r="AB1252" s="30"/>
      <c r="AC1252" s="27"/>
      <c r="AD1252" s="31"/>
      <c r="AE1252" s="32" t="str">
        <f t="shared" si="97"/>
        <v/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3765</v>
      </c>
      <c r="C1253" s="25" t="s">
        <v>3766</v>
      </c>
      <c r="D1253" s="23" t="s">
        <v>3418</v>
      </c>
      <c r="E1253" s="43">
        <v>46125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43">
        <v>46193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30"/>
      <c r="X1253" s="30"/>
      <c r="Y1253" s="30"/>
      <c r="Z1253" s="30"/>
      <c r="AA1253" s="30"/>
      <c r="AB1253" s="30"/>
      <c r="AC1253" s="27"/>
      <c r="AD1253" s="31"/>
      <c r="AE1253" s="32" t="str">
        <f t="shared" si="97"/>
        <v/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3767</v>
      </c>
      <c r="C1254" s="41" t="s">
        <v>3768</v>
      </c>
      <c r="D1254" s="39" t="s">
        <v>3418</v>
      </c>
      <c r="E1254" s="43">
        <v>46125</v>
      </c>
      <c r="F1254" s="26" t="s">
        <v>55</v>
      </c>
      <c r="G1254" s="26" t="s">
        <v>56</v>
      </c>
      <c r="H1254" s="26" t="s">
        <v>57</v>
      </c>
      <c r="I1254" s="26" t="s">
        <v>58</v>
      </c>
      <c r="J1254" s="26" t="s">
        <v>56</v>
      </c>
      <c r="K1254" s="27"/>
      <c r="L1254" s="28" t="s">
        <v>57</v>
      </c>
      <c r="M1254" s="29" t="str">
        <f t="shared" si="95"/>
        <v>✓ OK</v>
      </c>
      <c r="N1254" s="43">
        <v>46193</v>
      </c>
      <c r="O1254" s="26" t="s">
        <v>55</v>
      </c>
      <c r="P1254" s="26" t="s">
        <v>56</v>
      </c>
      <c r="Q1254" s="26" t="s">
        <v>57</v>
      </c>
      <c r="R1254" s="26" t="s">
        <v>58</v>
      </c>
      <c r="S1254" s="26" t="s">
        <v>56</v>
      </c>
      <c r="T1254" s="27"/>
      <c r="U1254" s="28" t="s">
        <v>57</v>
      </c>
      <c r="V1254" s="29" t="str">
        <f t="shared" si="96"/>
        <v>✓ OK</v>
      </c>
      <c r="W1254" s="30"/>
      <c r="X1254" s="30"/>
      <c r="Y1254" s="30"/>
      <c r="Z1254" s="30"/>
      <c r="AA1254" s="30"/>
      <c r="AB1254" s="30"/>
      <c r="AC1254" s="27"/>
      <c r="AD1254" s="31"/>
      <c r="AE1254" s="32" t="str">
        <f t="shared" si="97"/>
        <v/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3769</v>
      </c>
      <c r="C1255" s="25" t="s">
        <v>3770</v>
      </c>
      <c r="D1255" s="23" t="s">
        <v>3418</v>
      </c>
      <c r="E1255" s="43">
        <v>46125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43">
        <v>46193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30"/>
      <c r="X1255" s="30"/>
      <c r="Y1255" s="30"/>
      <c r="Z1255" s="30"/>
      <c r="AA1255" s="30"/>
      <c r="AB1255" s="30"/>
      <c r="AC1255" s="27"/>
      <c r="AD1255" s="31"/>
      <c r="AE1255" s="32" t="str">
        <f t="shared" si="97"/>
        <v/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3771</v>
      </c>
      <c r="C1256" s="41" t="s">
        <v>3772</v>
      </c>
      <c r="D1256" s="39" t="s">
        <v>3418</v>
      </c>
      <c r="E1256" s="43">
        <v>46125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43">
        <v>46193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30"/>
      <c r="X1256" s="30"/>
      <c r="Y1256" s="30"/>
      <c r="Z1256" s="30"/>
      <c r="AA1256" s="30"/>
      <c r="AB1256" s="30"/>
      <c r="AC1256" s="27"/>
      <c r="AD1256" s="31"/>
      <c r="AE1256" s="32" t="str">
        <f t="shared" si="97"/>
        <v/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3773</v>
      </c>
      <c r="C1257" s="25" t="s">
        <v>3774</v>
      </c>
      <c r="D1257" s="23" t="s">
        <v>3418</v>
      </c>
      <c r="E1257" s="43">
        <v>46125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43">
        <v>46193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30"/>
      <c r="X1257" s="30"/>
      <c r="Y1257" s="30"/>
      <c r="Z1257" s="30"/>
      <c r="AA1257" s="30"/>
      <c r="AB1257" s="30"/>
      <c r="AC1257" s="27"/>
      <c r="AD1257" s="31"/>
      <c r="AE1257" s="32" t="str">
        <f t="shared" si="97"/>
        <v/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3775</v>
      </c>
      <c r="C1258" s="41" t="s">
        <v>3776</v>
      </c>
      <c r="D1258" s="39" t="s">
        <v>3418</v>
      </c>
      <c r="E1258" s="43">
        <v>46125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43">
        <v>46193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30"/>
      <c r="X1258" s="30"/>
      <c r="Y1258" s="30"/>
      <c r="Z1258" s="30"/>
      <c r="AA1258" s="30"/>
      <c r="AB1258" s="30"/>
      <c r="AC1258" s="27"/>
      <c r="AD1258" s="31"/>
      <c r="AE1258" s="32" t="str">
        <f t="shared" si="97"/>
        <v/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3777</v>
      </c>
      <c r="C1259" s="25" t="s">
        <v>3778</v>
      </c>
      <c r="D1259" s="23" t="s">
        <v>3418</v>
      </c>
      <c r="E1259" s="43">
        <v>46125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43">
        <v>46193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30"/>
      <c r="X1259" s="30"/>
      <c r="Y1259" s="30"/>
      <c r="Z1259" s="30"/>
      <c r="AA1259" s="30"/>
      <c r="AB1259" s="30"/>
      <c r="AC1259" s="27"/>
      <c r="AD1259" s="31"/>
      <c r="AE1259" s="32" t="str">
        <f t="shared" si="97"/>
        <v/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3779</v>
      </c>
      <c r="C1260" s="41" t="s">
        <v>3780</v>
      </c>
      <c r="D1260" s="39" t="s">
        <v>3418</v>
      </c>
      <c r="E1260" s="43">
        <v>46125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43">
        <v>46193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30"/>
      <c r="X1260" s="30"/>
      <c r="Y1260" s="30"/>
      <c r="Z1260" s="30"/>
      <c r="AA1260" s="30"/>
      <c r="AB1260" s="30"/>
      <c r="AC1260" s="27"/>
      <c r="AD1260" s="31"/>
      <c r="AE1260" s="32" t="str">
        <f t="shared" si="97"/>
        <v/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3781</v>
      </c>
      <c r="C1261" s="25" t="s">
        <v>3782</v>
      </c>
      <c r="D1261" s="23" t="s">
        <v>3418</v>
      </c>
      <c r="E1261" s="43">
        <v>46125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43">
        <v>46193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30"/>
      <c r="X1261" s="30"/>
      <c r="Y1261" s="30"/>
      <c r="Z1261" s="30"/>
      <c r="AA1261" s="30"/>
      <c r="AB1261" s="30"/>
      <c r="AC1261" s="27"/>
      <c r="AD1261" s="31"/>
      <c r="AE1261" s="32" t="str">
        <f t="shared" si="97"/>
        <v/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3783</v>
      </c>
      <c r="C1262" s="41" t="s">
        <v>3784</v>
      </c>
      <c r="D1262" s="39" t="s">
        <v>3418</v>
      </c>
      <c r="E1262" s="43">
        <v>46125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43">
        <v>46193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30"/>
      <c r="X1262" s="30"/>
      <c r="Y1262" s="30"/>
      <c r="Z1262" s="30"/>
      <c r="AA1262" s="30"/>
      <c r="AB1262" s="30"/>
      <c r="AC1262" s="27"/>
      <c r="AD1262" s="31"/>
      <c r="AE1262" s="32" t="str">
        <f t="shared" si="97"/>
        <v/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3785</v>
      </c>
      <c r="C1263" s="25" t="s">
        <v>3786</v>
      </c>
      <c r="D1263" s="23" t="s">
        <v>3418</v>
      </c>
      <c r="E1263" s="43">
        <v>46125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43">
        <v>46193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30"/>
      <c r="X1263" s="30"/>
      <c r="Y1263" s="30"/>
      <c r="Z1263" s="30"/>
      <c r="AA1263" s="30"/>
      <c r="AB1263" s="30"/>
      <c r="AC1263" s="27"/>
      <c r="AD1263" s="31"/>
      <c r="AE1263" s="32" t="str">
        <f t="shared" si="97"/>
        <v/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3787</v>
      </c>
      <c r="C1264" s="41" t="s">
        <v>3788</v>
      </c>
      <c r="D1264" s="39" t="s">
        <v>3418</v>
      </c>
      <c r="E1264" s="43">
        <v>46125</v>
      </c>
      <c r="F1264" s="26" t="s">
        <v>55</v>
      </c>
      <c r="G1264" s="26" t="s">
        <v>56</v>
      </c>
      <c r="H1264" s="26" t="s">
        <v>57</v>
      </c>
      <c r="I1264" s="26" t="s">
        <v>58</v>
      </c>
      <c r="J1264" s="26" t="s">
        <v>56</v>
      </c>
      <c r="K1264" s="27"/>
      <c r="L1264" s="28" t="s">
        <v>57</v>
      </c>
      <c r="M1264" s="29" t="str">
        <f t="shared" si="95"/>
        <v>✓ OK</v>
      </c>
      <c r="N1264" s="43">
        <v>46193</v>
      </c>
      <c r="O1264" s="26" t="s">
        <v>55</v>
      </c>
      <c r="P1264" s="26" t="s">
        <v>56</v>
      </c>
      <c r="Q1264" s="26" t="s">
        <v>57</v>
      </c>
      <c r="R1264" s="26" t="s">
        <v>58</v>
      </c>
      <c r="S1264" s="26" t="s">
        <v>56</v>
      </c>
      <c r="T1264" s="27"/>
      <c r="U1264" s="28" t="s">
        <v>57</v>
      </c>
      <c r="V1264" s="29" t="str">
        <f t="shared" si="96"/>
        <v>✓ OK</v>
      </c>
      <c r="W1264" s="30"/>
      <c r="X1264" s="30"/>
      <c r="Y1264" s="30"/>
      <c r="Z1264" s="30"/>
      <c r="AA1264" s="30"/>
      <c r="AB1264" s="30"/>
      <c r="AC1264" s="27"/>
      <c r="AD1264" s="31"/>
      <c r="AE1264" s="32" t="str">
        <f t="shared" si="97"/>
        <v/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3789</v>
      </c>
      <c r="C1265" s="25" t="s">
        <v>3790</v>
      </c>
      <c r="D1265" s="23" t="s">
        <v>3418</v>
      </c>
      <c r="E1265" s="43">
        <v>46125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43">
        <v>46193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30"/>
      <c r="X1265" s="30"/>
      <c r="Y1265" s="30"/>
      <c r="Z1265" s="30"/>
      <c r="AA1265" s="30"/>
      <c r="AB1265" s="30"/>
      <c r="AC1265" s="27"/>
      <c r="AD1265" s="31"/>
      <c r="AE1265" s="32" t="str">
        <f t="shared" si="97"/>
        <v/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3791</v>
      </c>
      <c r="C1266" s="41" t="s">
        <v>3792</v>
      </c>
      <c r="D1266" s="39" t="s">
        <v>3418</v>
      </c>
      <c r="E1266" s="43">
        <v>46125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43">
        <v>46193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30"/>
      <c r="X1266" s="30"/>
      <c r="Y1266" s="30"/>
      <c r="Z1266" s="30"/>
      <c r="AA1266" s="30"/>
      <c r="AB1266" s="30"/>
      <c r="AC1266" s="27"/>
      <c r="AD1266" s="31"/>
      <c r="AE1266" s="32" t="str">
        <f t="shared" si="97"/>
        <v/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3793</v>
      </c>
      <c r="C1267" s="25" t="s">
        <v>3794</v>
      </c>
      <c r="D1267" s="23" t="s">
        <v>3418</v>
      </c>
      <c r="E1267" s="43">
        <v>46125</v>
      </c>
      <c r="F1267" s="26" t="s">
        <v>55</v>
      </c>
      <c r="G1267" s="26" t="s">
        <v>56</v>
      </c>
      <c r="H1267" s="26" t="s">
        <v>57</v>
      </c>
      <c r="I1267" s="26" t="s">
        <v>58</v>
      </c>
      <c r="J1267" s="26" t="s">
        <v>56</v>
      </c>
      <c r="K1267" s="27"/>
      <c r="L1267" s="28" t="s">
        <v>57</v>
      </c>
      <c r="M1267" s="29" t="str">
        <f t="shared" si="95"/>
        <v>✓ OK</v>
      </c>
      <c r="N1267" s="43">
        <v>46193</v>
      </c>
      <c r="O1267" s="26" t="s">
        <v>55</v>
      </c>
      <c r="P1267" s="26" t="s">
        <v>56</v>
      </c>
      <c r="Q1267" s="26" t="s">
        <v>57</v>
      </c>
      <c r="R1267" s="26" t="s">
        <v>58</v>
      </c>
      <c r="S1267" s="26" t="s">
        <v>56</v>
      </c>
      <c r="T1267" s="27"/>
      <c r="U1267" s="28" t="s">
        <v>57</v>
      </c>
      <c r="V1267" s="29" t="str">
        <f t="shared" si="96"/>
        <v>✓ OK</v>
      </c>
      <c r="W1267" s="30"/>
      <c r="X1267" s="30"/>
      <c r="Y1267" s="30"/>
      <c r="Z1267" s="30"/>
      <c r="AA1267" s="30"/>
      <c r="AB1267" s="30"/>
      <c r="AC1267" s="27"/>
      <c r="AD1267" s="31"/>
      <c r="AE1267" s="32" t="str">
        <f t="shared" si="97"/>
        <v/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3795</v>
      </c>
      <c r="C1268" s="41" t="s">
        <v>3796</v>
      </c>
      <c r="D1268" s="39" t="s">
        <v>3418</v>
      </c>
      <c r="E1268" s="43">
        <v>46125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43">
        <v>46193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30"/>
      <c r="X1268" s="30"/>
      <c r="Y1268" s="30"/>
      <c r="Z1268" s="30"/>
      <c r="AA1268" s="30"/>
      <c r="AB1268" s="30"/>
      <c r="AC1268" s="27"/>
      <c r="AD1268" s="31"/>
      <c r="AE1268" s="32" t="str">
        <f t="shared" si="97"/>
        <v/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3797</v>
      </c>
      <c r="C1269" s="25" t="s">
        <v>3798</v>
      </c>
      <c r="D1269" s="23" t="s">
        <v>3418</v>
      </c>
      <c r="E1269" s="43">
        <v>46125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43">
        <v>46193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30"/>
      <c r="X1269" s="30"/>
      <c r="Y1269" s="30"/>
      <c r="Z1269" s="30"/>
      <c r="AA1269" s="30"/>
      <c r="AB1269" s="30"/>
      <c r="AC1269" s="27"/>
      <c r="AD1269" s="31"/>
      <c r="AE1269" s="32" t="str">
        <f t="shared" si="97"/>
        <v/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3799</v>
      </c>
      <c r="C1270" s="41" t="s">
        <v>3800</v>
      </c>
      <c r="D1270" s="39" t="s">
        <v>3418</v>
      </c>
      <c r="E1270" s="43">
        <v>46125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43">
        <v>46193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30"/>
      <c r="X1270" s="30"/>
      <c r="Y1270" s="30"/>
      <c r="Z1270" s="30"/>
      <c r="AA1270" s="30"/>
      <c r="AB1270" s="30"/>
      <c r="AC1270" s="27"/>
      <c r="AD1270" s="31"/>
      <c r="AE1270" s="32" t="str">
        <f t="shared" si="97"/>
        <v/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3801</v>
      </c>
      <c r="C1271" s="25" t="s">
        <v>3802</v>
      </c>
      <c r="D1271" s="23" t="s">
        <v>3418</v>
      </c>
      <c r="E1271" s="43">
        <v>46125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43">
        <v>46193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30"/>
      <c r="X1271" s="30"/>
      <c r="Y1271" s="30"/>
      <c r="Z1271" s="30"/>
      <c r="AA1271" s="30"/>
      <c r="AB1271" s="30"/>
      <c r="AC1271" s="27"/>
      <c r="AD1271" s="31"/>
      <c r="AE1271" s="32" t="str">
        <f t="shared" si="97"/>
        <v/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3803</v>
      </c>
      <c r="C1272" s="41" t="s">
        <v>3804</v>
      </c>
      <c r="D1272" s="39" t="s">
        <v>3418</v>
      </c>
      <c r="E1272" s="43">
        <v>46125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43">
        <v>46193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30"/>
      <c r="X1272" s="30"/>
      <c r="Y1272" s="30"/>
      <c r="Z1272" s="30"/>
      <c r="AA1272" s="30"/>
      <c r="AB1272" s="30"/>
      <c r="AC1272" s="27"/>
      <c r="AD1272" s="31"/>
      <c r="AE1272" s="32" t="str">
        <f t="shared" si="97"/>
        <v/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3805</v>
      </c>
      <c r="C1273" s="25" t="s">
        <v>3806</v>
      </c>
      <c r="D1273" s="23" t="s">
        <v>3418</v>
      </c>
      <c r="E1273" s="43">
        <v>46125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43">
        <v>46193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30"/>
      <c r="X1273" s="30"/>
      <c r="Y1273" s="30"/>
      <c r="Z1273" s="30"/>
      <c r="AA1273" s="30"/>
      <c r="AB1273" s="30"/>
      <c r="AC1273" s="27"/>
      <c r="AD1273" s="31"/>
      <c r="AE1273" s="32" t="str">
        <f t="shared" si="97"/>
        <v/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3807</v>
      </c>
      <c r="C1274" s="41" t="s">
        <v>3808</v>
      </c>
      <c r="D1274" s="39" t="s">
        <v>3418</v>
      </c>
      <c r="E1274" s="43">
        <v>46125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43">
        <v>46193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30"/>
      <c r="X1274" s="30"/>
      <c r="Y1274" s="30"/>
      <c r="Z1274" s="30"/>
      <c r="AA1274" s="30"/>
      <c r="AB1274" s="30"/>
      <c r="AC1274" s="27"/>
      <c r="AD1274" s="31"/>
      <c r="AE1274" s="32" t="str">
        <f t="shared" si="97"/>
        <v/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3809</v>
      </c>
      <c r="C1275" s="25" t="s">
        <v>3810</v>
      </c>
      <c r="D1275" s="23" t="s">
        <v>3418</v>
      </c>
      <c r="E1275" s="43">
        <v>46125</v>
      </c>
      <c r="F1275" s="26" t="s">
        <v>55</v>
      </c>
      <c r="G1275" s="26" t="s">
        <v>56</v>
      </c>
      <c r="H1275" s="26" t="s">
        <v>57</v>
      </c>
      <c r="I1275" s="26" t="s">
        <v>58</v>
      </c>
      <c r="J1275" s="26" t="s">
        <v>56</v>
      </c>
      <c r="K1275" s="27"/>
      <c r="L1275" s="28" t="s">
        <v>57</v>
      </c>
      <c r="M1275" s="29" t="str">
        <f t="shared" si="95"/>
        <v>✓ OK</v>
      </c>
      <c r="N1275" s="43">
        <v>46193</v>
      </c>
      <c r="O1275" s="26" t="s">
        <v>55</v>
      </c>
      <c r="P1275" s="26" t="s">
        <v>56</v>
      </c>
      <c r="Q1275" s="26" t="s">
        <v>57</v>
      </c>
      <c r="R1275" s="26" t="s">
        <v>58</v>
      </c>
      <c r="S1275" s="26" t="s">
        <v>56</v>
      </c>
      <c r="T1275" s="27"/>
      <c r="U1275" s="28" t="s">
        <v>57</v>
      </c>
      <c r="V1275" s="29" t="str">
        <f t="shared" si="96"/>
        <v>✓ OK</v>
      </c>
      <c r="W1275" s="30"/>
      <c r="X1275" s="30"/>
      <c r="Y1275" s="30"/>
      <c r="Z1275" s="30"/>
      <c r="AA1275" s="30"/>
      <c r="AB1275" s="30"/>
      <c r="AC1275" s="27"/>
      <c r="AD1275" s="31"/>
      <c r="AE1275" s="32" t="str">
        <f t="shared" si="97"/>
        <v/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3811</v>
      </c>
      <c r="C1276" s="41" t="s">
        <v>3812</v>
      </c>
      <c r="D1276" s="39" t="s">
        <v>3418</v>
      </c>
      <c r="E1276" s="43">
        <v>46125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43">
        <v>46193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30"/>
      <c r="X1276" s="30"/>
      <c r="Y1276" s="30"/>
      <c r="Z1276" s="30"/>
      <c r="AA1276" s="30"/>
      <c r="AB1276" s="30"/>
      <c r="AC1276" s="27"/>
      <c r="AD1276" s="31"/>
      <c r="AE1276" s="32" t="str">
        <f t="shared" si="97"/>
        <v/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3813</v>
      </c>
      <c r="C1277" s="25" t="s">
        <v>3814</v>
      </c>
      <c r="D1277" s="23" t="s">
        <v>3418</v>
      </c>
      <c r="E1277" s="43">
        <v>46125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43">
        <v>46193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30"/>
      <c r="X1277" s="30"/>
      <c r="Y1277" s="30"/>
      <c r="Z1277" s="30"/>
      <c r="AA1277" s="30"/>
      <c r="AB1277" s="30"/>
      <c r="AC1277" s="27"/>
      <c r="AD1277" s="31"/>
      <c r="AE1277" s="32" t="str">
        <f t="shared" si="97"/>
        <v/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3815</v>
      </c>
      <c r="C1278" s="41" t="s">
        <v>3816</v>
      </c>
      <c r="D1278" s="39" t="s">
        <v>3418</v>
      </c>
      <c r="E1278" s="43">
        <v>46125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43">
        <v>46193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30"/>
      <c r="X1278" s="30"/>
      <c r="Y1278" s="30"/>
      <c r="Z1278" s="30"/>
      <c r="AA1278" s="30"/>
      <c r="AB1278" s="30"/>
      <c r="AC1278" s="27"/>
      <c r="AD1278" s="31"/>
      <c r="AE1278" s="32" t="str">
        <f t="shared" si="97"/>
        <v/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3817</v>
      </c>
      <c r="C1279" s="25" t="s">
        <v>3818</v>
      </c>
      <c r="D1279" s="23" t="s">
        <v>3418</v>
      </c>
      <c r="E1279" s="43">
        <v>46125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43">
        <v>46193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30"/>
      <c r="X1279" s="30"/>
      <c r="Y1279" s="30"/>
      <c r="Z1279" s="30"/>
      <c r="AA1279" s="30"/>
      <c r="AB1279" s="30"/>
      <c r="AC1279" s="27"/>
      <c r="AD1279" s="31"/>
      <c r="AE1279" s="32" t="str">
        <f t="shared" si="97"/>
        <v/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3819</v>
      </c>
      <c r="C1280" s="41" t="s">
        <v>3820</v>
      </c>
      <c r="D1280" s="39" t="s">
        <v>3418</v>
      </c>
      <c r="E1280" s="43">
        <v>46125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43">
        <v>46193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30"/>
      <c r="X1280" s="30"/>
      <c r="Y1280" s="30"/>
      <c r="Z1280" s="30"/>
      <c r="AA1280" s="30"/>
      <c r="AB1280" s="30"/>
      <c r="AC1280" s="27"/>
      <c r="AD1280" s="31"/>
      <c r="AE1280" s="32" t="str">
        <f t="shared" si="97"/>
        <v/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3821</v>
      </c>
      <c r="C1281" s="25" t="s">
        <v>3822</v>
      </c>
      <c r="D1281" s="23" t="s">
        <v>3418</v>
      </c>
      <c r="E1281" s="43">
        <v>46125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43">
        <v>46193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30"/>
      <c r="X1281" s="30"/>
      <c r="Y1281" s="30"/>
      <c r="Z1281" s="30"/>
      <c r="AA1281" s="30"/>
      <c r="AB1281" s="30"/>
      <c r="AC1281" s="27"/>
      <c r="AD1281" s="31"/>
      <c r="AE1281" s="32" t="str">
        <f t="shared" si="97"/>
        <v/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3823</v>
      </c>
      <c r="C1282" s="41" t="s">
        <v>3824</v>
      </c>
      <c r="D1282" s="39" t="s">
        <v>3418</v>
      </c>
      <c r="E1282" s="43">
        <v>46125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43">
        <v>46193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30"/>
      <c r="X1282" s="30"/>
      <c r="Y1282" s="30"/>
      <c r="Z1282" s="30"/>
      <c r="AA1282" s="30"/>
      <c r="AB1282" s="30"/>
      <c r="AC1282" s="27"/>
      <c r="AD1282" s="31"/>
      <c r="AE1282" s="32" t="str">
        <f t="shared" si="97"/>
        <v/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3825</v>
      </c>
      <c r="C1283" s="25" t="s">
        <v>3826</v>
      </c>
      <c r="D1283" s="23" t="s">
        <v>3418</v>
      </c>
      <c r="E1283" s="43">
        <v>46125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43">
        <v>46193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30"/>
      <c r="X1283" s="30"/>
      <c r="Y1283" s="30"/>
      <c r="Z1283" s="30"/>
      <c r="AA1283" s="30"/>
      <c r="AB1283" s="30"/>
      <c r="AC1283" s="27"/>
      <c r="AD1283" s="31"/>
      <c r="AE1283" s="32" t="str">
        <f t="shared" si="97"/>
        <v/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3827</v>
      </c>
      <c r="C1284" s="41" t="s">
        <v>3828</v>
      </c>
      <c r="D1284" s="39" t="s">
        <v>3418</v>
      </c>
      <c r="E1284" s="43">
        <v>46125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43">
        <v>46193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30"/>
      <c r="X1284" s="30"/>
      <c r="Y1284" s="30"/>
      <c r="Z1284" s="30"/>
      <c r="AA1284" s="30"/>
      <c r="AB1284" s="30"/>
      <c r="AC1284" s="27"/>
      <c r="AD1284" s="31"/>
      <c r="AE1284" s="32" t="str">
        <f t="shared" si="97"/>
        <v/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3829</v>
      </c>
      <c r="C1285" s="25" t="s">
        <v>3830</v>
      </c>
      <c r="D1285" s="23" t="s">
        <v>3418</v>
      </c>
      <c r="E1285" s="43">
        <v>46125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43">
        <v>46193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30"/>
      <c r="X1285" s="30"/>
      <c r="Y1285" s="30"/>
      <c r="Z1285" s="30"/>
      <c r="AA1285" s="30"/>
      <c r="AB1285" s="30"/>
      <c r="AC1285" s="27"/>
      <c r="AD1285" s="31"/>
      <c r="AE1285" s="32" t="str">
        <f t="shared" ref="AE1285:AE1348" si="102">IF(W1285="","",IF(Z1285="Yes","❌ Disc",IF(Y1285="No","⚠ Missing",IF(AB1285="Yes","✓ OK","⚠ Check"))))</f>
        <v/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3831</v>
      </c>
      <c r="C1286" s="41" t="s">
        <v>3832</v>
      </c>
      <c r="D1286" s="39" t="s">
        <v>3418</v>
      </c>
      <c r="E1286" s="43">
        <v>46125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43">
        <v>46193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30"/>
      <c r="X1286" s="30"/>
      <c r="Y1286" s="30"/>
      <c r="Z1286" s="30"/>
      <c r="AA1286" s="30"/>
      <c r="AB1286" s="30"/>
      <c r="AC1286" s="27"/>
      <c r="AD1286" s="31"/>
      <c r="AE1286" s="32" t="str">
        <f t="shared" si="102"/>
        <v/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3833</v>
      </c>
      <c r="C1287" s="25" t="s">
        <v>3834</v>
      </c>
      <c r="D1287" s="23" t="s">
        <v>3418</v>
      </c>
      <c r="E1287" s="43">
        <v>46125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43">
        <v>46193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30"/>
      <c r="X1287" s="30"/>
      <c r="Y1287" s="30"/>
      <c r="Z1287" s="30"/>
      <c r="AA1287" s="30"/>
      <c r="AB1287" s="30"/>
      <c r="AC1287" s="27"/>
      <c r="AD1287" s="31"/>
      <c r="AE1287" s="32" t="str">
        <f t="shared" si="102"/>
        <v/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3835</v>
      </c>
      <c r="C1288" s="41" t="s">
        <v>3836</v>
      </c>
      <c r="D1288" s="39" t="s">
        <v>3418</v>
      </c>
      <c r="E1288" s="43">
        <v>46125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43">
        <v>46193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30"/>
      <c r="X1288" s="30"/>
      <c r="Y1288" s="30"/>
      <c r="Z1288" s="30"/>
      <c r="AA1288" s="30"/>
      <c r="AB1288" s="30"/>
      <c r="AC1288" s="27"/>
      <c r="AD1288" s="31"/>
      <c r="AE1288" s="32" t="str">
        <f t="shared" si="102"/>
        <v/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3837</v>
      </c>
      <c r="C1289" s="25" t="s">
        <v>3838</v>
      </c>
      <c r="D1289" s="23" t="s">
        <v>3418</v>
      </c>
      <c r="E1289" s="43">
        <v>46125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43">
        <v>46193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30"/>
      <c r="X1289" s="30"/>
      <c r="Y1289" s="30"/>
      <c r="Z1289" s="30"/>
      <c r="AA1289" s="30"/>
      <c r="AB1289" s="30"/>
      <c r="AC1289" s="27"/>
      <c r="AD1289" s="31"/>
      <c r="AE1289" s="32" t="str">
        <f t="shared" si="102"/>
        <v/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3839</v>
      </c>
      <c r="C1290" s="41" t="s">
        <v>3840</v>
      </c>
      <c r="D1290" s="39" t="s">
        <v>3418</v>
      </c>
      <c r="E1290" s="43">
        <v>46125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43">
        <v>46193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30"/>
      <c r="X1290" s="30"/>
      <c r="Y1290" s="30"/>
      <c r="Z1290" s="30"/>
      <c r="AA1290" s="30"/>
      <c r="AB1290" s="30"/>
      <c r="AC1290" s="27"/>
      <c r="AD1290" s="31"/>
      <c r="AE1290" s="32" t="str">
        <f t="shared" si="102"/>
        <v/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3841</v>
      </c>
      <c r="C1291" s="25" t="s">
        <v>3842</v>
      </c>
      <c r="D1291" s="23" t="s">
        <v>3418</v>
      </c>
      <c r="E1291" s="43">
        <v>46125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43">
        <v>46193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30"/>
      <c r="X1291" s="30"/>
      <c r="Y1291" s="30"/>
      <c r="Z1291" s="30"/>
      <c r="AA1291" s="30"/>
      <c r="AB1291" s="30"/>
      <c r="AC1291" s="27"/>
      <c r="AD1291" s="31"/>
      <c r="AE1291" s="32" t="str">
        <f t="shared" si="102"/>
        <v/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3843</v>
      </c>
      <c r="C1292" s="41" t="s">
        <v>3844</v>
      </c>
      <c r="D1292" s="39" t="s">
        <v>3418</v>
      </c>
      <c r="E1292" s="43">
        <v>46125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43">
        <v>46193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30"/>
      <c r="X1292" s="30"/>
      <c r="Y1292" s="30"/>
      <c r="Z1292" s="30"/>
      <c r="AA1292" s="30"/>
      <c r="AB1292" s="30"/>
      <c r="AC1292" s="27"/>
      <c r="AD1292" s="31"/>
      <c r="AE1292" s="32" t="str">
        <f t="shared" si="102"/>
        <v/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3845</v>
      </c>
      <c r="C1293" s="25" t="s">
        <v>3846</v>
      </c>
      <c r="D1293" s="23" t="s">
        <v>3418</v>
      </c>
      <c r="E1293" s="43">
        <v>46125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43">
        <v>46193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30"/>
      <c r="X1293" s="30"/>
      <c r="Y1293" s="30"/>
      <c r="Z1293" s="30"/>
      <c r="AA1293" s="30"/>
      <c r="AB1293" s="30"/>
      <c r="AC1293" s="27"/>
      <c r="AD1293" s="31"/>
      <c r="AE1293" s="32" t="str">
        <f t="shared" si="102"/>
        <v/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3847</v>
      </c>
      <c r="C1294" s="41" t="s">
        <v>3848</v>
      </c>
      <c r="D1294" s="39" t="s">
        <v>3418</v>
      </c>
      <c r="E1294" s="43">
        <v>46125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43">
        <v>46193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30"/>
      <c r="X1294" s="30"/>
      <c r="Y1294" s="30"/>
      <c r="Z1294" s="30"/>
      <c r="AA1294" s="30"/>
      <c r="AB1294" s="30"/>
      <c r="AC1294" s="27"/>
      <c r="AD1294" s="31"/>
      <c r="AE1294" s="32" t="str">
        <f t="shared" si="102"/>
        <v/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3849</v>
      </c>
      <c r="C1295" s="25" t="s">
        <v>3850</v>
      </c>
      <c r="D1295" s="23" t="s">
        <v>3418</v>
      </c>
      <c r="E1295" s="43">
        <v>46125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43">
        <v>46193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30"/>
      <c r="X1295" s="30"/>
      <c r="Y1295" s="30"/>
      <c r="Z1295" s="30"/>
      <c r="AA1295" s="30"/>
      <c r="AB1295" s="30"/>
      <c r="AC1295" s="27"/>
      <c r="AD1295" s="31"/>
      <c r="AE1295" s="32" t="str">
        <f t="shared" si="102"/>
        <v/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3851</v>
      </c>
      <c r="C1296" s="41" t="s">
        <v>3852</v>
      </c>
      <c r="D1296" s="39" t="s">
        <v>3418</v>
      </c>
      <c r="E1296" s="43">
        <v>46125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43">
        <v>46193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30"/>
      <c r="X1296" s="30"/>
      <c r="Y1296" s="30"/>
      <c r="Z1296" s="30"/>
      <c r="AA1296" s="30"/>
      <c r="AB1296" s="30"/>
      <c r="AC1296" s="27"/>
      <c r="AD1296" s="31"/>
      <c r="AE1296" s="32" t="str">
        <f t="shared" si="102"/>
        <v/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3853</v>
      </c>
      <c r="C1297" s="25" t="s">
        <v>3854</v>
      </c>
      <c r="D1297" s="23" t="s">
        <v>3418</v>
      </c>
      <c r="E1297" s="43">
        <v>46125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43">
        <v>46193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30"/>
      <c r="X1297" s="30"/>
      <c r="Y1297" s="30"/>
      <c r="Z1297" s="30"/>
      <c r="AA1297" s="30"/>
      <c r="AB1297" s="30"/>
      <c r="AC1297" s="27"/>
      <c r="AD1297" s="31"/>
      <c r="AE1297" s="32" t="str">
        <f t="shared" si="102"/>
        <v/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3855</v>
      </c>
      <c r="C1298" s="41" t="s">
        <v>3856</v>
      </c>
      <c r="D1298" s="39" t="s">
        <v>3418</v>
      </c>
      <c r="E1298" s="43">
        <v>46125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43">
        <v>46193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30"/>
      <c r="X1298" s="30"/>
      <c r="Y1298" s="30"/>
      <c r="Z1298" s="30"/>
      <c r="AA1298" s="30"/>
      <c r="AB1298" s="30"/>
      <c r="AC1298" s="27"/>
      <c r="AD1298" s="31"/>
      <c r="AE1298" s="32" t="str">
        <f t="shared" si="102"/>
        <v/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3857</v>
      </c>
      <c r="C1299" s="25" t="s">
        <v>3858</v>
      </c>
      <c r="D1299" s="23" t="s">
        <v>3418</v>
      </c>
      <c r="E1299" s="43">
        <v>46125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43">
        <v>46193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30"/>
      <c r="X1299" s="30"/>
      <c r="Y1299" s="30"/>
      <c r="Z1299" s="30"/>
      <c r="AA1299" s="30"/>
      <c r="AB1299" s="30"/>
      <c r="AC1299" s="27"/>
      <c r="AD1299" s="31"/>
      <c r="AE1299" s="32" t="str">
        <f t="shared" si="102"/>
        <v/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3859</v>
      </c>
      <c r="C1300" s="41" t="s">
        <v>3860</v>
      </c>
      <c r="D1300" s="39" t="s">
        <v>3418</v>
      </c>
      <c r="E1300" s="43">
        <v>46125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43">
        <v>46193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30"/>
      <c r="X1300" s="30"/>
      <c r="Y1300" s="30"/>
      <c r="Z1300" s="30"/>
      <c r="AA1300" s="30"/>
      <c r="AB1300" s="30"/>
      <c r="AC1300" s="27"/>
      <c r="AD1300" s="31"/>
      <c r="AE1300" s="32" t="str">
        <f t="shared" si="102"/>
        <v/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3861</v>
      </c>
      <c r="C1301" s="25" t="s">
        <v>3862</v>
      </c>
      <c r="D1301" s="23" t="s">
        <v>3418</v>
      </c>
      <c r="E1301" s="43">
        <v>46125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43">
        <v>46193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30"/>
      <c r="X1301" s="30"/>
      <c r="Y1301" s="30"/>
      <c r="Z1301" s="30"/>
      <c r="AA1301" s="30"/>
      <c r="AB1301" s="30"/>
      <c r="AC1301" s="27"/>
      <c r="AD1301" s="31"/>
      <c r="AE1301" s="32" t="str">
        <f t="shared" si="102"/>
        <v/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3863</v>
      </c>
      <c r="C1302" s="41" t="s">
        <v>3864</v>
      </c>
      <c r="D1302" s="39" t="s">
        <v>3418</v>
      </c>
      <c r="E1302" s="43">
        <v>46125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43">
        <v>46193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30"/>
      <c r="X1302" s="30"/>
      <c r="Y1302" s="30"/>
      <c r="Z1302" s="30"/>
      <c r="AA1302" s="30"/>
      <c r="AB1302" s="30"/>
      <c r="AC1302" s="27"/>
      <c r="AD1302" s="31"/>
      <c r="AE1302" s="32" t="str">
        <f t="shared" si="102"/>
        <v/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3865</v>
      </c>
      <c r="C1303" s="25" t="s">
        <v>3866</v>
      </c>
      <c r="D1303" s="23" t="s">
        <v>3418</v>
      </c>
      <c r="E1303" s="43">
        <v>46125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43">
        <v>46193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30"/>
      <c r="X1303" s="30"/>
      <c r="Y1303" s="30"/>
      <c r="Z1303" s="30"/>
      <c r="AA1303" s="30"/>
      <c r="AB1303" s="30"/>
      <c r="AC1303" s="27"/>
      <c r="AD1303" s="31"/>
      <c r="AE1303" s="32" t="str">
        <f t="shared" si="102"/>
        <v/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3867</v>
      </c>
      <c r="C1304" s="41" t="s">
        <v>3868</v>
      </c>
      <c r="D1304" s="39" t="s">
        <v>3418</v>
      </c>
      <c r="E1304" s="43">
        <v>46125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43">
        <v>46193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30"/>
      <c r="X1304" s="30"/>
      <c r="Y1304" s="30"/>
      <c r="Z1304" s="30"/>
      <c r="AA1304" s="30"/>
      <c r="AB1304" s="30"/>
      <c r="AC1304" s="27"/>
      <c r="AD1304" s="31"/>
      <c r="AE1304" s="32" t="str">
        <f t="shared" si="102"/>
        <v/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3869</v>
      </c>
      <c r="C1305" s="25" t="s">
        <v>3870</v>
      </c>
      <c r="D1305" s="23" t="s">
        <v>3418</v>
      </c>
      <c r="E1305" s="43">
        <v>46125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43">
        <v>46193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30"/>
      <c r="X1305" s="30"/>
      <c r="Y1305" s="30"/>
      <c r="Z1305" s="30"/>
      <c r="AA1305" s="30"/>
      <c r="AB1305" s="30"/>
      <c r="AC1305" s="27"/>
      <c r="AD1305" s="31"/>
      <c r="AE1305" s="32" t="str">
        <f t="shared" si="102"/>
        <v/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3871</v>
      </c>
      <c r="C1306" s="41" t="s">
        <v>3872</v>
      </c>
      <c r="D1306" s="39" t="s">
        <v>3418</v>
      </c>
      <c r="E1306" s="43">
        <v>46125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43">
        <v>46193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30"/>
      <c r="X1306" s="30"/>
      <c r="Y1306" s="30"/>
      <c r="Z1306" s="30"/>
      <c r="AA1306" s="30"/>
      <c r="AB1306" s="30"/>
      <c r="AC1306" s="27"/>
      <c r="AD1306" s="31"/>
      <c r="AE1306" s="32" t="str">
        <f t="shared" si="102"/>
        <v/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3873</v>
      </c>
      <c r="C1307" s="25" t="s">
        <v>3874</v>
      </c>
      <c r="D1307" s="23" t="s">
        <v>3418</v>
      </c>
      <c r="E1307" s="43">
        <v>46125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43">
        <v>46193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30"/>
      <c r="X1307" s="30"/>
      <c r="Y1307" s="30"/>
      <c r="Z1307" s="30"/>
      <c r="AA1307" s="30"/>
      <c r="AB1307" s="30"/>
      <c r="AC1307" s="27"/>
      <c r="AD1307" s="31"/>
      <c r="AE1307" s="32" t="str">
        <f t="shared" si="102"/>
        <v/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3875</v>
      </c>
      <c r="C1308" s="41" t="s">
        <v>3876</v>
      </c>
      <c r="D1308" s="39" t="s">
        <v>3418</v>
      </c>
      <c r="E1308" s="43">
        <v>46125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43">
        <v>46193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30"/>
      <c r="X1308" s="30"/>
      <c r="Y1308" s="30"/>
      <c r="Z1308" s="30"/>
      <c r="AA1308" s="30"/>
      <c r="AB1308" s="30"/>
      <c r="AC1308" s="27"/>
      <c r="AD1308" s="31"/>
      <c r="AE1308" s="32" t="str">
        <f t="shared" si="102"/>
        <v/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3877</v>
      </c>
      <c r="C1309" s="25" t="s">
        <v>3878</v>
      </c>
      <c r="D1309" s="23" t="s">
        <v>3418</v>
      </c>
      <c r="E1309" s="43">
        <v>46125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43">
        <v>46193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30"/>
      <c r="X1309" s="30"/>
      <c r="Y1309" s="30"/>
      <c r="Z1309" s="30"/>
      <c r="AA1309" s="30"/>
      <c r="AB1309" s="30"/>
      <c r="AC1309" s="27"/>
      <c r="AD1309" s="31"/>
      <c r="AE1309" s="32" t="str">
        <f t="shared" si="102"/>
        <v/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3879</v>
      </c>
      <c r="C1310" s="41" t="s">
        <v>3880</v>
      </c>
      <c r="D1310" s="39" t="s">
        <v>3418</v>
      </c>
      <c r="E1310" s="43">
        <v>46125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43">
        <v>46193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30"/>
      <c r="X1310" s="30"/>
      <c r="Y1310" s="30"/>
      <c r="Z1310" s="30"/>
      <c r="AA1310" s="30"/>
      <c r="AB1310" s="30"/>
      <c r="AC1310" s="27"/>
      <c r="AD1310" s="31"/>
      <c r="AE1310" s="32" t="str">
        <f t="shared" si="102"/>
        <v/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3881</v>
      </c>
      <c r="C1311" s="25" t="s">
        <v>3882</v>
      </c>
      <c r="D1311" s="23" t="s">
        <v>3418</v>
      </c>
      <c r="E1311" s="43">
        <v>46125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43">
        <v>46193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30"/>
      <c r="X1311" s="30"/>
      <c r="Y1311" s="30"/>
      <c r="Z1311" s="30"/>
      <c r="AA1311" s="30"/>
      <c r="AB1311" s="30"/>
      <c r="AC1311" s="27"/>
      <c r="AD1311" s="31"/>
      <c r="AE1311" s="32" t="str">
        <f t="shared" si="102"/>
        <v/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3883</v>
      </c>
      <c r="C1312" s="41" t="s">
        <v>3884</v>
      </c>
      <c r="D1312" s="39" t="s">
        <v>3418</v>
      </c>
      <c r="E1312" s="43">
        <v>46125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43">
        <v>46193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30"/>
      <c r="X1312" s="30"/>
      <c r="Y1312" s="30"/>
      <c r="Z1312" s="30"/>
      <c r="AA1312" s="30"/>
      <c r="AB1312" s="30"/>
      <c r="AC1312" s="27"/>
      <c r="AD1312" s="31"/>
      <c r="AE1312" s="32" t="str">
        <f t="shared" si="102"/>
        <v/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3885</v>
      </c>
      <c r="C1313" s="25" t="s">
        <v>3886</v>
      </c>
      <c r="D1313" s="23" t="s">
        <v>3418</v>
      </c>
      <c r="E1313" s="43">
        <v>46125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43">
        <v>46193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30"/>
      <c r="X1313" s="30"/>
      <c r="Y1313" s="30"/>
      <c r="Z1313" s="30"/>
      <c r="AA1313" s="30"/>
      <c r="AB1313" s="30"/>
      <c r="AC1313" s="27"/>
      <c r="AD1313" s="31"/>
      <c r="AE1313" s="32" t="str">
        <f t="shared" si="102"/>
        <v/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3887</v>
      </c>
      <c r="C1314" s="41" t="s">
        <v>3888</v>
      </c>
      <c r="D1314" s="39" t="s">
        <v>3418</v>
      </c>
      <c r="E1314" s="43">
        <v>46125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43">
        <v>46193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30"/>
      <c r="X1314" s="30"/>
      <c r="Y1314" s="30"/>
      <c r="Z1314" s="30"/>
      <c r="AA1314" s="30"/>
      <c r="AB1314" s="30"/>
      <c r="AC1314" s="27"/>
      <c r="AD1314" s="31"/>
      <c r="AE1314" s="32" t="str">
        <f t="shared" si="102"/>
        <v/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3889</v>
      </c>
      <c r="C1315" s="25" t="s">
        <v>3890</v>
      </c>
      <c r="D1315" s="23" t="s">
        <v>3418</v>
      </c>
      <c r="E1315" s="43">
        <v>46125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43">
        <v>46193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30"/>
      <c r="X1315" s="30"/>
      <c r="Y1315" s="30"/>
      <c r="Z1315" s="30"/>
      <c r="AA1315" s="30"/>
      <c r="AB1315" s="30"/>
      <c r="AC1315" s="27"/>
      <c r="AD1315" s="31"/>
      <c r="AE1315" s="32" t="str">
        <f t="shared" si="102"/>
        <v/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3891</v>
      </c>
      <c r="C1316" s="41" t="s">
        <v>3892</v>
      </c>
      <c r="D1316" s="39" t="s">
        <v>3418</v>
      </c>
      <c r="E1316" s="43">
        <v>46125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43">
        <v>46193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30"/>
      <c r="X1316" s="30"/>
      <c r="Y1316" s="30"/>
      <c r="Z1316" s="30"/>
      <c r="AA1316" s="30"/>
      <c r="AB1316" s="30"/>
      <c r="AC1316" s="27"/>
      <c r="AD1316" s="31"/>
      <c r="AE1316" s="32" t="str">
        <f t="shared" si="102"/>
        <v/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3893</v>
      </c>
      <c r="C1317" s="25" t="s">
        <v>3894</v>
      </c>
      <c r="D1317" s="23" t="s">
        <v>3418</v>
      </c>
      <c r="E1317" s="43">
        <v>46125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43">
        <v>46193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30"/>
      <c r="X1317" s="30"/>
      <c r="Y1317" s="30"/>
      <c r="Z1317" s="30"/>
      <c r="AA1317" s="30"/>
      <c r="AB1317" s="30"/>
      <c r="AC1317" s="27"/>
      <c r="AD1317" s="31"/>
      <c r="AE1317" s="32" t="str">
        <f t="shared" si="102"/>
        <v/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3895</v>
      </c>
      <c r="C1318" s="41" t="s">
        <v>3896</v>
      </c>
      <c r="D1318" s="39" t="s">
        <v>3418</v>
      </c>
      <c r="E1318" s="43">
        <v>46125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43">
        <v>46193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30"/>
      <c r="X1318" s="30"/>
      <c r="Y1318" s="30"/>
      <c r="Z1318" s="30"/>
      <c r="AA1318" s="30"/>
      <c r="AB1318" s="30"/>
      <c r="AC1318" s="27"/>
      <c r="AD1318" s="31"/>
      <c r="AE1318" s="32" t="str">
        <f t="shared" si="102"/>
        <v/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3897</v>
      </c>
      <c r="C1319" s="25" t="s">
        <v>3898</v>
      </c>
      <c r="D1319" s="23" t="s">
        <v>3418</v>
      </c>
      <c r="E1319" s="43">
        <v>46125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43">
        <v>46193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30"/>
      <c r="X1319" s="30"/>
      <c r="Y1319" s="30"/>
      <c r="Z1319" s="30"/>
      <c r="AA1319" s="30"/>
      <c r="AB1319" s="30"/>
      <c r="AC1319" s="27"/>
      <c r="AD1319" s="31"/>
      <c r="AE1319" s="32" t="str">
        <f t="shared" si="102"/>
        <v/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3899</v>
      </c>
      <c r="C1320" s="41" t="s">
        <v>3900</v>
      </c>
      <c r="D1320" s="39" t="s">
        <v>3418</v>
      </c>
      <c r="E1320" s="43">
        <v>46125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43">
        <v>46193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30"/>
      <c r="X1320" s="30"/>
      <c r="Y1320" s="30"/>
      <c r="Z1320" s="30"/>
      <c r="AA1320" s="30"/>
      <c r="AB1320" s="30"/>
      <c r="AC1320" s="27"/>
      <c r="AD1320" s="31"/>
      <c r="AE1320" s="32" t="str">
        <f t="shared" si="102"/>
        <v/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3901</v>
      </c>
      <c r="C1321" s="25" t="s">
        <v>3902</v>
      </c>
      <c r="D1321" s="23" t="s">
        <v>3418</v>
      </c>
      <c r="E1321" s="43">
        <v>46125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43">
        <v>46193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30"/>
      <c r="X1321" s="30"/>
      <c r="Y1321" s="30"/>
      <c r="Z1321" s="30"/>
      <c r="AA1321" s="30"/>
      <c r="AB1321" s="30"/>
      <c r="AC1321" s="27"/>
      <c r="AD1321" s="31"/>
      <c r="AE1321" s="32" t="str">
        <f t="shared" si="102"/>
        <v/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3903</v>
      </c>
      <c r="C1322" s="41" t="s">
        <v>3904</v>
      </c>
      <c r="D1322" s="39" t="s">
        <v>3418</v>
      </c>
      <c r="E1322" s="43">
        <v>46125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43">
        <v>46193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30"/>
      <c r="X1322" s="30"/>
      <c r="Y1322" s="30"/>
      <c r="Z1322" s="30"/>
      <c r="AA1322" s="30"/>
      <c r="AB1322" s="30"/>
      <c r="AC1322" s="27"/>
      <c r="AD1322" s="31"/>
      <c r="AE1322" s="32" t="str">
        <f t="shared" si="102"/>
        <v/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3905</v>
      </c>
      <c r="C1323" s="25" t="s">
        <v>3906</v>
      </c>
      <c r="D1323" s="23" t="s">
        <v>3418</v>
      </c>
      <c r="E1323" s="43">
        <v>46125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43">
        <v>46193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30"/>
      <c r="X1323" s="30"/>
      <c r="Y1323" s="30"/>
      <c r="Z1323" s="30"/>
      <c r="AA1323" s="30"/>
      <c r="AB1323" s="30"/>
      <c r="AC1323" s="27"/>
      <c r="AD1323" s="31"/>
      <c r="AE1323" s="32" t="str">
        <f t="shared" si="102"/>
        <v/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3907</v>
      </c>
      <c r="C1324" s="41" t="s">
        <v>3908</v>
      </c>
      <c r="D1324" s="39" t="s">
        <v>3418</v>
      </c>
      <c r="E1324" s="43">
        <v>46125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43">
        <v>46193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30"/>
      <c r="X1324" s="30"/>
      <c r="Y1324" s="30"/>
      <c r="Z1324" s="30"/>
      <c r="AA1324" s="30"/>
      <c r="AB1324" s="30"/>
      <c r="AC1324" s="27"/>
      <c r="AD1324" s="31"/>
      <c r="AE1324" s="32" t="str">
        <f t="shared" si="102"/>
        <v/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3909</v>
      </c>
      <c r="C1325" s="25" t="s">
        <v>3910</v>
      </c>
      <c r="D1325" s="23" t="s">
        <v>3418</v>
      </c>
      <c r="E1325" s="43">
        <v>46125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43">
        <v>46193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30"/>
      <c r="X1325" s="30"/>
      <c r="Y1325" s="30"/>
      <c r="Z1325" s="30"/>
      <c r="AA1325" s="30"/>
      <c r="AB1325" s="30"/>
      <c r="AC1325" s="27"/>
      <c r="AD1325" s="31"/>
      <c r="AE1325" s="32" t="str">
        <f t="shared" si="102"/>
        <v/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3911</v>
      </c>
      <c r="C1326" s="41" t="s">
        <v>3912</v>
      </c>
      <c r="D1326" s="39" t="s">
        <v>3418</v>
      </c>
      <c r="E1326" s="43">
        <v>46125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43">
        <v>46193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30"/>
      <c r="X1326" s="30"/>
      <c r="Y1326" s="30"/>
      <c r="Z1326" s="30"/>
      <c r="AA1326" s="30"/>
      <c r="AB1326" s="30"/>
      <c r="AC1326" s="27"/>
      <c r="AD1326" s="31"/>
      <c r="AE1326" s="32" t="str">
        <f t="shared" si="102"/>
        <v/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3913</v>
      </c>
      <c r="C1327" s="25" t="s">
        <v>3914</v>
      </c>
      <c r="D1327" s="23" t="s">
        <v>3418</v>
      </c>
      <c r="E1327" s="43">
        <v>46125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43">
        <v>46193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30"/>
      <c r="X1327" s="30"/>
      <c r="Y1327" s="30"/>
      <c r="Z1327" s="30"/>
      <c r="AA1327" s="30"/>
      <c r="AB1327" s="30"/>
      <c r="AC1327" s="27"/>
      <c r="AD1327" s="31"/>
      <c r="AE1327" s="32" t="str">
        <f t="shared" si="102"/>
        <v/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3915</v>
      </c>
      <c r="C1328" s="41" t="s">
        <v>3916</v>
      </c>
      <c r="D1328" s="39" t="s">
        <v>3418</v>
      </c>
      <c r="E1328" s="43">
        <v>46125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43">
        <v>46193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30"/>
      <c r="X1328" s="30"/>
      <c r="Y1328" s="30"/>
      <c r="Z1328" s="30"/>
      <c r="AA1328" s="30"/>
      <c r="AB1328" s="30"/>
      <c r="AC1328" s="27"/>
      <c r="AD1328" s="31"/>
      <c r="AE1328" s="32" t="str">
        <f t="shared" si="102"/>
        <v/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3917</v>
      </c>
      <c r="C1329" s="25" t="s">
        <v>3918</v>
      </c>
      <c r="D1329" s="23" t="s">
        <v>3418</v>
      </c>
      <c r="E1329" s="43">
        <v>46125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43">
        <v>46193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30"/>
      <c r="X1329" s="30"/>
      <c r="Y1329" s="30"/>
      <c r="Z1329" s="30"/>
      <c r="AA1329" s="30"/>
      <c r="AB1329" s="30"/>
      <c r="AC1329" s="27"/>
      <c r="AD1329" s="31"/>
      <c r="AE1329" s="32" t="str">
        <f t="shared" si="102"/>
        <v/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3919</v>
      </c>
      <c r="C1330" s="41" t="s">
        <v>3920</v>
      </c>
      <c r="D1330" s="39" t="s">
        <v>3418</v>
      </c>
      <c r="E1330" s="43">
        <v>46125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43">
        <v>46193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30"/>
      <c r="X1330" s="30"/>
      <c r="Y1330" s="30"/>
      <c r="Z1330" s="30"/>
      <c r="AA1330" s="30"/>
      <c r="AB1330" s="30"/>
      <c r="AC1330" s="27"/>
      <c r="AD1330" s="31"/>
      <c r="AE1330" s="32" t="str">
        <f t="shared" si="102"/>
        <v/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3921</v>
      </c>
      <c r="C1331" s="25" t="s">
        <v>3922</v>
      </c>
      <c r="D1331" s="23" t="s">
        <v>3418</v>
      </c>
      <c r="E1331" s="43">
        <v>46125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43">
        <v>46193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30"/>
      <c r="X1331" s="30"/>
      <c r="Y1331" s="30"/>
      <c r="Z1331" s="30"/>
      <c r="AA1331" s="30"/>
      <c r="AB1331" s="30"/>
      <c r="AC1331" s="27"/>
      <c r="AD1331" s="31"/>
      <c r="AE1331" s="32" t="str">
        <f t="shared" si="102"/>
        <v/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3923</v>
      </c>
      <c r="C1332" s="41" t="s">
        <v>3924</v>
      </c>
      <c r="D1332" s="39" t="s">
        <v>3418</v>
      </c>
      <c r="E1332" s="43">
        <v>46125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43">
        <v>46193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30"/>
      <c r="X1332" s="30"/>
      <c r="Y1332" s="30"/>
      <c r="Z1332" s="30"/>
      <c r="AA1332" s="30"/>
      <c r="AB1332" s="30"/>
      <c r="AC1332" s="27"/>
      <c r="AD1332" s="31"/>
      <c r="AE1332" s="32" t="str">
        <f t="shared" si="102"/>
        <v/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3925</v>
      </c>
      <c r="C1333" s="25" t="s">
        <v>3926</v>
      </c>
      <c r="D1333" s="23" t="s">
        <v>3418</v>
      </c>
      <c r="E1333" s="43">
        <v>46125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43">
        <v>46193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30"/>
      <c r="X1333" s="30"/>
      <c r="Y1333" s="30"/>
      <c r="Z1333" s="30"/>
      <c r="AA1333" s="30"/>
      <c r="AB1333" s="30"/>
      <c r="AC1333" s="27"/>
      <c r="AD1333" s="31"/>
      <c r="AE1333" s="32" t="str">
        <f t="shared" si="102"/>
        <v/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3927</v>
      </c>
      <c r="C1334" s="41" t="s">
        <v>3928</v>
      </c>
      <c r="D1334" s="39" t="s">
        <v>3418</v>
      </c>
      <c r="E1334" s="43">
        <v>46125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43">
        <v>46193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30"/>
      <c r="X1334" s="30"/>
      <c r="Y1334" s="30"/>
      <c r="Z1334" s="30"/>
      <c r="AA1334" s="30"/>
      <c r="AB1334" s="30"/>
      <c r="AC1334" s="27"/>
      <c r="AD1334" s="31"/>
      <c r="AE1334" s="32" t="str">
        <f t="shared" si="102"/>
        <v/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3929</v>
      </c>
      <c r="C1335" s="25" t="s">
        <v>3930</v>
      </c>
      <c r="D1335" s="23" t="s">
        <v>3418</v>
      </c>
      <c r="E1335" s="43">
        <v>46125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43">
        <v>46193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30"/>
      <c r="X1335" s="30"/>
      <c r="Y1335" s="30"/>
      <c r="Z1335" s="30"/>
      <c r="AA1335" s="30"/>
      <c r="AB1335" s="30"/>
      <c r="AC1335" s="27"/>
      <c r="AD1335" s="31"/>
      <c r="AE1335" s="32" t="str">
        <f t="shared" si="102"/>
        <v/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3931</v>
      </c>
      <c r="C1336" s="41" t="s">
        <v>3932</v>
      </c>
      <c r="D1336" s="39" t="s">
        <v>3418</v>
      </c>
      <c r="E1336" s="43">
        <v>46125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43">
        <v>46193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30"/>
      <c r="X1336" s="30"/>
      <c r="Y1336" s="30"/>
      <c r="Z1336" s="30"/>
      <c r="AA1336" s="30"/>
      <c r="AB1336" s="30"/>
      <c r="AC1336" s="27"/>
      <c r="AD1336" s="31"/>
      <c r="AE1336" s="32" t="str">
        <f t="shared" si="102"/>
        <v/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3933</v>
      </c>
      <c r="C1337" s="25" t="s">
        <v>3934</v>
      </c>
      <c r="D1337" s="23" t="s">
        <v>3418</v>
      </c>
      <c r="E1337" s="43">
        <v>46125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43">
        <v>46193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30"/>
      <c r="X1337" s="30"/>
      <c r="Y1337" s="30"/>
      <c r="Z1337" s="30"/>
      <c r="AA1337" s="30"/>
      <c r="AB1337" s="30"/>
      <c r="AC1337" s="27"/>
      <c r="AD1337" s="31"/>
      <c r="AE1337" s="32" t="str">
        <f t="shared" si="102"/>
        <v/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3935</v>
      </c>
      <c r="C1338" s="41" t="s">
        <v>3936</v>
      </c>
      <c r="D1338" s="39" t="s">
        <v>3418</v>
      </c>
      <c r="E1338" s="43">
        <v>46125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43">
        <v>46193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30"/>
      <c r="X1338" s="30"/>
      <c r="Y1338" s="30"/>
      <c r="Z1338" s="30"/>
      <c r="AA1338" s="30"/>
      <c r="AB1338" s="30"/>
      <c r="AC1338" s="27"/>
      <c r="AD1338" s="31"/>
      <c r="AE1338" s="32" t="str">
        <f t="shared" si="102"/>
        <v/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3937</v>
      </c>
      <c r="C1339" s="25" t="s">
        <v>3938</v>
      </c>
      <c r="D1339" s="23" t="s">
        <v>3418</v>
      </c>
      <c r="E1339" s="43">
        <v>46125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43">
        <v>46193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30"/>
      <c r="X1339" s="30"/>
      <c r="Y1339" s="30"/>
      <c r="Z1339" s="30"/>
      <c r="AA1339" s="30"/>
      <c r="AB1339" s="30"/>
      <c r="AC1339" s="27"/>
      <c r="AD1339" s="31"/>
      <c r="AE1339" s="32" t="str">
        <f t="shared" si="102"/>
        <v/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3939</v>
      </c>
      <c r="C1340" s="41" t="s">
        <v>3940</v>
      </c>
      <c r="D1340" s="39" t="s">
        <v>3418</v>
      </c>
      <c r="E1340" s="43">
        <v>46125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43">
        <v>46193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30"/>
      <c r="X1340" s="30"/>
      <c r="Y1340" s="30"/>
      <c r="Z1340" s="30"/>
      <c r="AA1340" s="30"/>
      <c r="AB1340" s="30"/>
      <c r="AC1340" s="27"/>
      <c r="AD1340" s="31"/>
      <c r="AE1340" s="32" t="str">
        <f t="shared" si="102"/>
        <v/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3941</v>
      </c>
      <c r="C1341" s="25" t="s">
        <v>3942</v>
      </c>
      <c r="D1341" s="23" t="s">
        <v>3418</v>
      </c>
      <c r="E1341" s="43">
        <v>46125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43">
        <v>46193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30"/>
      <c r="X1341" s="30"/>
      <c r="Y1341" s="30"/>
      <c r="Z1341" s="30"/>
      <c r="AA1341" s="30"/>
      <c r="AB1341" s="30"/>
      <c r="AC1341" s="27"/>
      <c r="AD1341" s="31"/>
      <c r="AE1341" s="32" t="str">
        <f t="shared" si="102"/>
        <v/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3943</v>
      </c>
      <c r="C1342" s="41" t="s">
        <v>3944</v>
      </c>
      <c r="D1342" s="39" t="s">
        <v>3418</v>
      </c>
      <c r="E1342" s="43">
        <v>46125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43">
        <v>46193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30"/>
      <c r="X1342" s="30"/>
      <c r="Y1342" s="30"/>
      <c r="Z1342" s="30"/>
      <c r="AA1342" s="30"/>
      <c r="AB1342" s="30"/>
      <c r="AC1342" s="27"/>
      <c r="AD1342" s="31"/>
      <c r="AE1342" s="32" t="str">
        <f t="shared" si="102"/>
        <v/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3945</v>
      </c>
      <c r="C1343" s="25" t="s">
        <v>3946</v>
      </c>
      <c r="D1343" s="23" t="s">
        <v>3418</v>
      </c>
      <c r="E1343" s="43">
        <v>46125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43">
        <v>46193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30"/>
      <c r="X1343" s="30"/>
      <c r="Y1343" s="30"/>
      <c r="Z1343" s="30"/>
      <c r="AA1343" s="30"/>
      <c r="AB1343" s="30"/>
      <c r="AC1343" s="27"/>
      <c r="AD1343" s="31"/>
      <c r="AE1343" s="32" t="str">
        <f t="shared" si="102"/>
        <v/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3947</v>
      </c>
      <c r="C1344" s="41" t="s">
        <v>3948</v>
      </c>
      <c r="D1344" s="39" t="s">
        <v>3418</v>
      </c>
      <c r="E1344" s="43">
        <v>46125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43">
        <v>46193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30"/>
      <c r="X1344" s="30"/>
      <c r="Y1344" s="30"/>
      <c r="Z1344" s="30"/>
      <c r="AA1344" s="30"/>
      <c r="AB1344" s="30"/>
      <c r="AC1344" s="27"/>
      <c r="AD1344" s="31"/>
      <c r="AE1344" s="32" t="str">
        <f t="shared" si="102"/>
        <v/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3949</v>
      </c>
      <c r="C1345" s="25" t="s">
        <v>3950</v>
      </c>
      <c r="D1345" s="23" t="s">
        <v>3418</v>
      </c>
      <c r="E1345" s="43">
        <v>46125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43">
        <v>46193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30"/>
      <c r="X1345" s="30"/>
      <c r="Y1345" s="30"/>
      <c r="Z1345" s="30"/>
      <c r="AA1345" s="30"/>
      <c r="AB1345" s="30"/>
      <c r="AC1345" s="27"/>
      <c r="AD1345" s="31"/>
      <c r="AE1345" s="32" t="str">
        <f t="shared" si="102"/>
        <v/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3951</v>
      </c>
      <c r="C1346" s="41" t="s">
        <v>3952</v>
      </c>
      <c r="D1346" s="39" t="s">
        <v>3418</v>
      </c>
      <c r="E1346" s="43">
        <v>46125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43">
        <v>46193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30"/>
      <c r="X1346" s="30"/>
      <c r="Y1346" s="30"/>
      <c r="Z1346" s="30"/>
      <c r="AA1346" s="30"/>
      <c r="AB1346" s="30"/>
      <c r="AC1346" s="27"/>
      <c r="AD1346" s="31"/>
      <c r="AE1346" s="32" t="str">
        <f t="shared" si="102"/>
        <v/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3953</v>
      </c>
      <c r="C1347" s="25" t="s">
        <v>3954</v>
      </c>
      <c r="D1347" s="23" t="s">
        <v>3418</v>
      </c>
      <c r="E1347" s="43">
        <v>46125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56</v>
      </c>
      <c r="K1347" s="27"/>
      <c r="L1347" s="28" t="s">
        <v>57</v>
      </c>
      <c r="M1347" s="29" t="str">
        <f t="shared" si="100"/>
        <v>✓ OK</v>
      </c>
      <c r="N1347" s="43">
        <v>46193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56</v>
      </c>
      <c r="T1347" s="27"/>
      <c r="U1347" s="28" t="s">
        <v>57</v>
      </c>
      <c r="V1347" s="29" t="str">
        <f t="shared" si="101"/>
        <v>✓ OK</v>
      </c>
      <c r="W1347" s="30"/>
      <c r="X1347" s="30"/>
      <c r="Y1347" s="30"/>
      <c r="Z1347" s="30"/>
      <c r="AA1347" s="30"/>
      <c r="AB1347" s="30"/>
      <c r="AC1347" s="27"/>
      <c r="AD1347" s="31"/>
      <c r="AE1347" s="32" t="str">
        <f t="shared" si="102"/>
        <v/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3955</v>
      </c>
      <c r="C1348" s="41" t="s">
        <v>3956</v>
      </c>
      <c r="D1348" s="39" t="s">
        <v>3418</v>
      </c>
      <c r="E1348" s="43">
        <v>46125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43">
        <v>46193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30"/>
      <c r="X1348" s="30"/>
      <c r="Y1348" s="30"/>
      <c r="Z1348" s="30"/>
      <c r="AA1348" s="30"/>
      <c r="AB1348" s="30"/>
      <c r="AC1348" s="27"/>
      <c r="AD1348" s="31"/>
      <c r="AE1348" s="32" t="str">
        <f t="shared" si="102"/>
        <v/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3957</v>
      </c>
      <c r="C1349" s="25" t="s">
        <v>3958</v>
      </c>
      <c r="D1349" s="23" t="s">
        <v>3418</v>
      </c>
      <c r="E1349" s="43">
        <v>46125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43">
        <v>46193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30"/>
      <c r="X1349" s="30"/>
      <c r="Y1349" s="30"/>
      <c r="Z1349" s="30"/>
      <c r="AA1349" s="30"/>
      <c r="AB1349" s="30"/>
      <c r="AC1349" s="27"/>
      <c r="AD1349" s="31"/>
      <c r="AE1349" s="32" t="str">
        <f t="shared" ref="AE1349:AE1413" si="107">IF(W1349="","",IF(Z1349="Yes","❌ Disc",IF(Y1349="No","⚠ Missing",IF(AB1349="Yes","✓ OK","⚠ Check"))))</f>
        <v/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3959</v>
      </c>
      <c r="C1350" s="41" t="s">
        <v>3960</v>
      </c>
      <c r="D1350" s="39" t="s">
        <v>3418</v>
      </c>
      <c r="E1350" s="43">
        <v>46125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43">
        <v>46193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30"/>
      <c r="X1350" s="30"/>
      <c r="Y1350" s="30"/>
      <c r="Z1350" s="30"/>
      <c r="AA1350" s="30"/>
      <c r="AB1350" s="30"/>
      <c r="AC1350" s="27"/>
      <c r="AD1350" s="31"/>
      <c r="AE1350" s="32" t="str">
        <f t="shared" si="107"/>
        <v/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3961</v>
      </c>
      <c r="C1351" s="25" t="s">
        <v>3962</v>
      </c>
      <c r="D1351" s="23" t="s">
        <v>3418</v>
      </c>
      <c r="E1351" s="43">
        <v>46125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43">
        <v>46193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30"/>
      <c r="X1351" s="30"/>
      <c r="Y1351" s="30"/>
      <c r="Z1351" s="30"/>
      <c r="AA1351" s="30"/>
      <c r="AB1351" s="30"/>
      <c r="AC1351" s="27"/>
      <c r="AD1351" s="31"/>
      <c r="AE1351" s="32" t="str">
        <f t="shared" si="107"/>
        <v/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3963</v>
      </c>
      <c r="C1352" s="41" t="s">
        <v>3964</v>
      </c>
      <c r="D1352" s="39" t="s">
        <v>3418</v>
      </c>
      <c r="E1352" s="43">
        <v>46125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43">
        <v>46193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30"/>
      <c r="X1352" s="30"/>
      <c r="Y1352" s="30"/>
      <c r="Z1352" s="30"/>
      <c r="AA1352" s="30"/>
      <c r="AB1352" s="30"/>
      <c r="AC1352" s="27"/>
      <c r="AD1352" s="31"/>
      <c r="AE1352" s="32" t="str">
        <f t="shared" si="107"/>
        <v/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3965</v>
      </c>
      <c r="C1353" s="25" t="s">
        <v>3966</v>
      </c>
      <c r="D1353" s="23" t="s">
        <v>3418</v>
      </c>
      <c r="E1353" s="43">
        <v>46125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43">
        <v>46193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30"/>
      <c r="X1353" s="30"/>
      <c r="Y1353" s="30"/>
      <c r="Z1353" s="30"/>
      <c r="AA1353" s="30"/>
      <c r="AB1353" s="30"/>
      <c r="AC1353" s="27"/>
      <c r="AD1353" s="31"/>
      <c r="AE1353" s="32" t="str">
        <f t="shared" si="107"/>
        <v/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3967</v>
      </c>
      <c r="C1354" s="41" t="s">
        <v>3968</v>
      </c>
      <c r="D1354" s="39" t="s">
        <v>3418</v>
      </c>
      <c r="E1354" s="43">
        <v>46125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43">
        <v>46193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30"/>
      <c r="X1354" s="30"/>
      <c r="Y1354" s="30"/>
      <c r="Z1354" s="30"/>
      <c r="AA1354" s="30"/>
      <c r="AB1354" s="30"/>
      <c r="AC1354" s="27"/>
      <c r="AD1354" s="31"/>
      <c r="AE1354" s="32" t="str">
        <f t="shared" si="107"/>
        <v/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3969</v>
      </c>
      <c r="C1355" s="25" t="s">
        <v>3970</v>
      </c>
      <c r="D1355" s="23" t="s">
        <v>3418</v>
      </c>
      <c r="E1355" s="43">
        <v>46125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43">
        <v>46193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30"/>
      <c r="X1355" s="30"/>
      <c r="Y1355" s="30"/>
      <c r="Z1355" s="30"/>
      <c r="AA1355" s="30"/>
      <c r="AB1355" s="30"/>
      <c r="AC1355" s="27"/>
      <c r="AD1355" s="31"/>
      <c r="AE1355" s="32" t="str">
        <f t="shared" si="107"/>
        <v/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3971</v>
      </c>
      <c r="C1356" s="41" t="s">
        <v>3972</v>
      </c>
      <c r="D1356" s="39" t="s">
        <v>3418</v>
      </c>
      <c r="E1356" s="43">
        <v>46125</v>
      </c>
      <c r="F1356" s="26" t="s">
        <v>55</v>
      </c>
      <c r="G1356" s="26" t="s">
        <v>56</v>
      </c>
      <c r="H1356" s="26" t="s">
        <v>57</v>
      </c>
      <c r="I1356" s="26" t="s">
        <v>58</v>
      </c>
      <c r="J1356" s="26" t="s">
        <v>56</v>
      </c>
      <c r="K1356" s="27"/>
      <c r="L1356" s="28" t="s">
        <v>57</v>
      </c>
      <c r="M1356" s="29" t="str">
        <f t="shared" si="105"/>
        <v>✓ OK</v>
      </c>
      <c r="N1356" s="43">
        <v>46193</v>
      </c>
      <c r="O1356" s="26" t="s">
        <v>55</v>
      </c>
      <c r="P1356" s="26" t="s">
        <v>56</v>
      </c>
      <c r="Q1356" s="26" t="s">
        <v>57</v>
      </c>
      <c r="R1356" s="26" t="s">
        <v>58</v>
      </c>
      <c r="S1356" s="26" t="s">
        <v>56</v>
      </c>
      <c r="T1356" s="27"/>
      <c r="U1356" s="28" t="s">
        <v>57</v>
      </c>
      <c r="V1356" s="29" t="str">
        <f t="shared" si="106"/>
        <v>✓ OK</v>
      </c>
      <c r="W1356" s="30"/>
      <c r="X1356" s="30"/>
      <c r="Y1356" s="30"/>
      <c r="Z1356" s="30"/>
      <c r="AA1356" s="30"/>
      <c r="AB1356" s="30"/>
      <c r="AC1356" s="27"/>
      <c r="AD1356" s="31"/>
      <c r="AE1356" s="32" t="str">
        <f t="shared" si="107"/>
        <v/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3973</v>
      </c>
      <c r="C1357" s="25" t="s">
        <v>3974</v>
      </c>
      <c r="D1357" s="23" t="s">
        <v>3418</v>
      </c>
      <c r="E1357" s="43">
        <v>46125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43">
        <v>46193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30"/>
      <c r="X1357" s="30"/>
      <c r="Y1357" s="30"/>
      <c r="Z1357" s="30"/>
      <c r="AA1357" s="30"/>
      <c r="AB1357" s="30"/>
      <c r="AC1357" s="27"/>
      <c r="AD1357" s="31"/>
      <c r="AE1357" s="32" t="str">
        <f t="shared" si="107"/>
        <v/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3975</v>
      </c>
      <c r="C1358" s="41" t="s">
        <v>3976</v>
      </c>
      <c r="D1358" s="39" t="s">
        <v>3418</v>
      </c>
      <c r="E1358" s="43">
        <v>46125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43">
        <v>46193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30"/>
      <c r="X1358" s="30"/>
      <c r="Y1358" s="30"/>
      <c r="Z1358" s="30"/>
      <c r="AA1358" s="30"/>
      <c r="AB1358" s="30"/>
      <c r="AC1358" s="27"/>
      <c r="AD1358" s="31"/>
      <c r="AE1358" s="32" t="str">
        <f t="shared" si="107"/>
        <v/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3977</v>
      </c>
      <c r="C1359" s="25" t="s">
        <v>3978</v>
      </c>
      <c r="D1359" s="23" t="s">
        <v>3418</v>
      </c>
      <c r="E1359" s="43">
        <v>46125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43">
        <v>46193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30"/>
      <c r="X1359" s="30"/>
      <c r="Y1359" s="30"/>
      <c r="Z1359" s="30"/>
      <c r="AA1359" s="30"/>
      <c r="AB1359" s="30"/>
      <c r="AC1359" s="27"/>
      <c r="AD1359" s="31"/>
      <c r="AE1359" s="32" t="str">
        <f t="shared" si="107"/>
        <v/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3979</v>
      </c>
      <c r="C1360" s="41" t="s">
        <v>3980</v>
      </c>
      <c r="D1360" s="39" t="s">
        <v>3418</v>
      </c>
      <c r="E1360" s="43">
        <v>46125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43">
        <v>46193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30"/>
      <c r="X1360" s="30"/>
      <c r="Y1360" s="30"/>
      <c r="Z1360" s="30"/>
      <c r="AA1360" s="30"/>
      <c r="AB1360" s="30"/>
      <c r="AC1360" s="27"/>
      <c r="AD1360" s="31"/>
      <c r="AE1360" s="32" t="str">
        <f t="shared" si="107"/>
        <v/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3981</v>
      </c>
      <c r="C1361" s="25" t="s">
        <v>3982</v>
      </c>
      <c r="D1361" s="23" t="s">
        <v>3418</v>
      </c>
      <c r="E1361" s="43">
        <v>46125</v>
      </c>
      <c r="F1361" s="26" t="s">
        <v>55</v>
      </c>
      <c r="G1361" s="26" t="s">
        <v>56</v>
      </c>
      <c r="H1361" s="26" t="s">
        <v>57</v>
      </c>
      <c r="I1361" s="26" t="s">
        <v>58</v>
      </c>
      <c r="J1361" s="26" t="s">
        <v>56</v>
      </c>
      <c r="K1361" s="27"/>
      <c r="L1361" s="28" t="s">
        <v>57</v>
      </c>
      <c r="M1361" s="29" t="str">
        <f t="shared" si="105"/>
        <v>✓ OK</v>
      </c>
      <c r="N1361" s="43">
        <v>46193</v>
      </c>
      <c r="O1361" s="26" t="s">
        <v>55</v>
      </c>
      <c r="P1361" s="26" t="s">
        <v>56</v>
      </c>
      <c r="Q1361" s="26" t="s">
        <v>57</v>
      </c>
      <c r="R1361" s="26" t="s">
        <v>58</v>
      </c>
      <c r="S1361" s="26" t="s">
        <v>56</v>
      </c>
      <c r="T1361" s="27"/>
      <c r="U1361" s="28" t="s">
        <v>57</v>
      </c>
      <c r="V1361" s="29" t="str">
        <f t="shared" si="106"/>
        <v>✓ OK</v>
      </c>
      <c r="W1361" s="30"/>
      <c r="X1361" s="30"/>
      <c r="Y1361" s="30"/>
      <c r="Z1361" s="30"/>
      <c r="AA1361" s="30"/>
      <c r="AB1361" s="30"/>
      <c r="AC1361" s="27"/>
      <c r="AD1361" s="31"/>
      <c r="AE1361" s="32" t="str">
        <f t="shared" si="107"/>
        <v/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3983</v>
      </c>
      <c r="C1362" s="41" t="s">
        <v>3984</v>
      </c>
      <c r="D1362" s="39" t="s">
        <v>3418</v>
      </c>
      <c r="E1362" s="43">
        <v>46125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43">
        <v>46193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30"/>
      <c r="X1362" s="30"/>
      <c r="Y1362" s="30"/>
      <c r="Z1362" s="30"/>
      <c r="AA1362" s="30"/>
      <c r="AB1362" s="30"/>
      <c r="AC1362" s="27"/>
      <c r="AD1362" s="31"/>
      <c r="AE1362" s="32" t="str">
        <f t="shared" si="107"/>
        <v/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3985</v>
      </c>
      <c r="C1363" s="25" t="s">
        <v>3986</v>
      </c>
      <c r="D1363" s="23" t="s">
        <v>3418</v>
      </c>
      <c r="E1363" s="43">
        <v>46125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43">
        <v>46193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30"/>
      <c r="X1363" s="30"/>
      <c r="Y1363" s="30"/>
      <c r="Z1363" s="30"/>
      <c r="AA1363" s="30"/>
      <c r="AB1363" s="30"/>
      <c r="AC1363" s="27"/>
      <c r="AD1363" s="31"/>
      <c r="AE1363" s="32" t="str">
        <f t="shared" si="107"/>
        <v/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3987</v>
      </c>
      <c r="C1364" s="41" t="s">
        <v>3988</v>
      </c>
      <c r="D1364" s="39" t="s">
        <v>3418</v>
      </c>
      <c r="E1364" s="43">
        <v>46125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43">
        <v>46193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30"/>
      <c r="X1364" s="30"/>
      <c r="Y1364" s="30"/>
      <c r="Z1364" s="30"/>
      <c r="AA1364" s="30"/>
      <c r="AB1364" s="30"/>
      <c r="AC1364" s="27"/>
      <c r="AD1364" s="31"/>
      <c r="AE1364" s="32" t="str">
        <f t="shared" si="107"/>
        <v/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3989</v>
      </c>
      <c r="C1365" s="25" t="s">
        <v>3990</v>
      </c>
      <c r="D1365" s="23" t="s">
        <v>3418</v>
      </c>
      <c r="E1365" s="43">
        <v>46125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43">
        <v>46193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30"/>
      <c r="X1365" s="30"/>
      <c r="Y1365" s="30"/>
      <c r="Z1365" s="30"/>
      <c r="AA1365" s="30"/>
      <c r="AB1365" s="30"/>
      <c r="AC1365" s="27"/>
      <c r="AD1365" s="31"/>
      <c r="AE1365" s="32" t="str">
        <f t="shared" si="107"/>
        <v/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3991</v>
      </c>
      <c r="C1366" s="41" t="s">
        <v>3992</v>
      </c>
      <c r="D1366" s="39" t="s">
        <v>3418</v>
      </c>
      <c r="E1366" s="43">
        <v>46125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43">
        <v>46193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30"/>
      <c r="X1366" s="30"/>
      <c r="Y1366" s="30"/>
      <c r="Z1366" s="30"/>
      <c r="AA1366" s="30"/>
      <c r="AB1366" s="30"/>
      <c r="AC1366" s="27"/>
      <c r="AD1366" s="31"/>
      <c r="AE1366" s="32" t="str">
        <f t="shared" si="107"/>
        <v/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3993</v>
      </c>
      <c r="C1367" s="25" t="s">
        <v>3994</v>
      </c>
      <c r="D1367" s="23" t="s">
        <v>3418</v>
      </c>
      <c r="E1367" s="43">
        <v>46125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43">
        <v>46193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30"/>
      <c r="X1367" s="30"/>
      <c r="Y1367" s="30"/>
      <c r="Z1367" s="30"/>
      <c r="AA1367" s="30"/>
      <c r="AB1367" s="30"/>
      <c r="AC1367" s="27"/>
      <c r="AD1367" s="31"/>
      <c r="AE1367" s="32" t="str">
        <f t="shared" si="107"/>
        <v/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3995</v>
      </c>
      <c r="C1368" s="41" t="s">
        <v>3996</v>
      </c>
      <c r="D1368" s="39" t="s">
        <v>3418</v>
      </c>
      <c r="E1368" s="43">
        <v>46125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43">
        <v>46193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30"/>
      <c r="X1368" s="30"/>
      <c r="Y1368" s="30"/>
      <c r="Z1368" s="30"/>
      <c r="AA1368" s="30"/>
      <c r="AB1368" s="30"/>
      <c r="AC1368" s="27"/>
      <c r="AD1368" s="31"/>
      <c r="AE1368" s="32" t="str">
        <f t="shared" si="107"/>
        <v/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3997</v>
      </c>
      <c r="C1369" s="25" t="s">
        <v>3998</v>
      </c>
      <c r="D1369" s="23" t="s">
        <v>3418</v>
      </c>
      <c r="E1369" s="43">
        <v>46125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43">
        <v>46193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30"/>
      <c r="X1369" s="30"/>
      <c r="Y1369" s="30"/>
      <c r="Z1369" s="30"/>
      <c r="AA1369" s="30"/>
      <c r="AB1369" s="30"/>
      <c r="AC1369" s="27"/>
      <c r="AD1369" s="31"/>
      <c r="AE1369" s="32" t="str">
        <f t="shared" si="107"/>
        <v/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3999</v>
      </c>
      <c r="C1370" s="41" t="s">
        <v>4000</v>
      </c>
      <c r="D1370" s="39" t="s">
        <v>3418</v>
      </c>
      <c r="E1370" s="43">
        <v>46125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43">
        <v>46193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30"/>
      <c r="X1370" s="30"/>
      <c r="Y1370" s="30"/>
      <c r="Z1370" s="30"/>
      <c r="AA1370" s="30"/>
      <c r="AB1370" s="30"/>
      <c r="AC1370" s="27"/>
      <c r="AD1370" s="31"/>
      <c r="AE1370" s="32" t="str">
        <f t="shared" si="107"/>
        <v/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4001</v>
      </c>
      <c r="C1371" s="25" t="s">
        <v>4002</v>
      </c>
      <c r="D1371" s="23" t="s">
        <v>3418</v>
      </c>
      <c r="E1371" s="43">
        <v>46125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43">
        <v>46193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30"/>
      <c r="X1371" s="30"/>
      <c r="Y1371" s="30"/>
      <c r="Z1371" s="30"/>
      <c r="AA1371" s="30"/>
      <c r="AB1371" s="30"/>
      <c r="AC1371" s="27"/>
      <c r="AD1371" s="31"/>
      <c r="AE1371" s="32" t="str">
        <f t="shared" si="107"/>
        <v/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4003</v>
      </c>
      <c r="C1372" s="41" t="s">
        <v>4004</v>
      </c>
      <c r="D1372" s="39" t="s">
        <v>3418</v>
      </c>
      <c r="E1372" s="43">
        <v>46125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43">
        <v>46193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30"/>
      <c r="X1372" s="30"/>
      <c r="Y1372" s="30"/>
      <c r="Z1372" s="30"/>
      <c r="AA1372" s="30"/>
      <c r="AB1372" s="30"/>
      <c r="AC1372" s="27"/>
      <c r="AD1372" s="31"/>
      <c r="AE1372" s="32" t="str">
        <f t="shared" si="107"/>
        <v/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4005</v>
      </c>
      <c r="C1373" s="25" t="s">
        <v>4006</v>
      </c>
      <c r="D1373" s="23" t="s">
        <v>3418</v>
      </c>
      <c r="E1373" s="43">
        <v>46125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43">
        <v>46193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30"/>
      <c r="X1373" s="30"/>
      <c r="Y1373" s="30"/>
      <c r="Z1373" s="30"/>
      <c r="AA1373" s="30"/>
      <c r="AB1373" s="30"/>
      <c r="AC1373" s="27"/>
      <c r="AD1373" s="31"/>
      <c r="AE1373" s="32" t="str">
        <f t="shared" si="107"/>
        <v/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4007</v>
      </c>
      <c r="C1374" s="41" t="s">
        <v>4008</v>
      </c>
      <c r="D1374" s="39" t="s">
        <v>3418</v>
      </c>
      <c r="E1374" s="43">
        <v>46125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43">
        <v>46193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30"/>
      <c r="X1374" s="30"/>
      <c r="Y1374" s="30"/>
      <c r="Z1374" s="30"/>
      <c r="AA1374" s="30"/>
      <c r="AB1374" s="30"/>
      <c r="AC1374" s="27"/>
      <c r="AD1374" s="31"/>
      <c r="AE1374" s="32" t="str">
        <f t="shared" si="107"/>
        <v/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4009</v>
      </c>
      <c r="C1375" s="25" t="s">
        <v>4010</v>
      </c>
      <c r="D1375" s="23" t="s">
        <v>3418</v>
      </c>
      <c r="E1375" s="43">
        <v>46125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43">
        <v>46193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30"/>
      <c r="X1375" s="30"/>
      <c r="Y1375" s="30"/>
      <c r="Z1375" s="30"/>
      <c r="AA1375" s="30"/>
      <c r="AB1375" s="30"/>
      <c r="AC1375" s="27"/>
      <c r="AD1375" s="31"/>
      <c r="AE1375" s="32" t="str">
        <f t="shared" si="107"/>
        <v/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4011</v>
      </c>
      <c r="C1376" s="41" t="s">
        <v>4012</v>
      </c>
      <c r="D1376" s="39" t="s">
        <v>3418</v>
      </c>
      <c r="E1376" s="43">
        <v>46125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43">
        <v>46193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30"/>
      <c r="X1376" s="30"/>
      <c r="Y1376" s="30"/>
      <c r="Z1376" s="30"/>
      <c r="AA1376" s="30"/>
      <c r="AB1376" s="30"/>
      <c r="AC1376" s="27"/>
      <c r="AD1376" s="31"/>
      <c r="AE1376" s="32" t="str">
        <f t="shared" si="107"/>
        <v/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4013</v>
      </c>
      <c r="C1377" s="25" t="s">
        <v>4014</v>
      </c>
      <c r="D1377" s="23" t="s">
        <v>3418</v>
      </c>
      <c r="E1377" s="43">
        <v>46125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43">
        <v>46193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30"/>
      <c r="X1377" s="30"/>
      <c r="Y1377" s="30"/>
      <c r="Z1377" s="30"/>
      <c r="AA1377" s="30"/>
      <c r="AB1377" s="30"/>
      <c r="AC1377" s="27"/>
      <c r="AD1377" s="31"/>
      <c r="AE1377" s="32" t="str">
        <f t="shared" si="107"/>
        <v/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4015</v>
      </c>
      <c r="C1378" s="41" t="s">
        <v>4016</v>
      </c>
      <c r="D1378" s="39" t="s">
        <v>3418</v>
      </c>
      <c r="E1378" s="43">
        <v>46125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43">
        <v>46193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30"/>
      <c r="X1378" s="30"/>
      <c r="Y1378" s="30"/>
      <c r="Z1378" s="30"/>
      <c r="AA1378" s="30"/>
      <c r="AB1378" s="30"/>
      <c r="AC1378" s="27"/>
      <c r="AD1378" s="31"/>
      <c r="AE1378" s="32" t="str">
        <f t="shared" si="107"/>
        <v/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4017</v>
      </c>
      <c r="C1379" s="25" t="s">
        <v>4018</v>
      </c>
      <c r="D1379" s="23" t="s">
        <v>3418</v>
      </c>
      <c r="E1379" s="43">
        <v>46125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43">
        <v>46193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30"/>
      <c r="X1379" s="30"/>
      <c r="Y1379" s="30"/>
      <c r="Z1379" s="30"/>
      <c r="AA1379" s="30"/>
      <c r="AB1379" s="30"/>
      <c r="AC1379" s="27"/>
      <c r="AD1379" s="31"/>
      <c r="AE1379" s="32" t="str">
        <f t="shared" si="107"/>
        <v/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4019</v>
      </c>
      <c r="C1380" s="41" t="s">
        <v>4020</v>
      </c>
      <c r="D1380" s="39" t="s">
        <v>3418</v>
      </c>
      <c r="E1380" s="43">
        <v>46125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43">
        <v>46193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30"/>
      <c r="X1380" s="30"/>
      <c r="Y1380" s="30"/>
      <c r="Z1380" s="30"/>
      <c r="AA1380" s="30"/>
      <c r="AB1380" s="30"/>
      <c r="AC1380" s="27"/>
      <c r="AD1380" s="31"/>
      <c r="AE1380" s="32" t="str">
        <f t="shared" si="107"/>
        <v/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4021</v>
      </c>
      <c r="C1381" s="25" t="s">
        <v>4022</v>
      </c>
      <c r="D1381" s="23" t="s">
        <v>3418</v>
      </c>
      <c r="E1381" s="43">
        <v>46125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43">
        <v>46193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30"/>
      <c r="X1381" s="30"/>
      <c r="Y1381" s="30"/>
      <c r="Z1381" s="30"/>
      <c r="AA1381" s="30"/>
      <c r="AB1381" s="30"/>
      <c r="AC1381" s="27"/>
      <c r="AD1381" s="31"/>
      <c r="AE1381" s="32" t="str">
        <f t="shared" si="107"/>
        <v/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4023</v>
      </c>
      <c r="C1382" s="41" t="s">
        <v>4024</v>
      </c>
      <c r="D1382" s="39" t="s">
        <v>3418</v>
      </c>
      <c r="E1382" s="43">
        <v>46125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43">
        <v>46193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30"/>
      <c r="X1382" s="30"/>
      <c r="Y1382" s="30"/>
      <c r="Z1382" s="30"/>
      <c r="AA1382" s="30"/>
      <c r="AB1382" s="30"/>
      <c r="AC1382" s="27"/>
      <c r="AD1382" s="31"/>
      <c r="AE1382" s="32" t="str">
        <f t="shared" si="107"/>
        <v/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4025</v>
      </c>
      <c r="C1383" s="25" t="s">
        <v>4026</v>
      </c>
      <c r="D1383" s="23" t="s">
        <v>3418</v>
      </c>
      <c r="E1383" s="43">
        <v>46125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43">
        <v>46193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30"/>
      <c r="X1383" s="30"/>
      <c r="Y1383" s="30"/>
      <c r="Z1383" s="30"/>
      <c r="AA1383" s="30"/>
      <c r="AB1383" s="30"/>
      <c r="AC1383" s="27"/>
      <c r="AD1383" s="31"/>
      <c r="AE1383" s="32" t="str">
        <f t="shared" si="107"/>
        <v/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4027</v>
      </c>
      <c r="C1384" s="41" t="s">
        <v>4028</v>
      </c>
      <c r="D1384" s="39" t="s">
        <v>3418</v>
      </c>
      <c r="E1384" s="43">
        <v>46125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43">
        <v>46193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30"/>
      <c r="X1384" s="30"/>
      <c r="Y1384" s="30"/>
      <c r="Z1384" s="30"/>
      <c r="AA1384" s="30"/>
      <c r="AB1384" s="30"/>
      <c r="AC1384" s="27"/>
      <c r="AD1384" s="31"/>
      <c r="AE1384" s="32" t="str">
        <f t="shared" si="107"/>
        <v/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4029</v>
      </c>
      <c r="C1385" s="25" t="s">
        <v>4030</v>
      </c>
      <c r="D1385" s="23" t="s">
        <v>3418</v>
      </c>
      <c r="E1385" s="43">
        <v>46125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43">
        <v>46193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30"/>
      <c r="X1385" s="30"/>
      <c r="Y1385" s="30"/>
      <c r="Z1385" s="30"/>
      <c r="AA1385" s="30"/>
      <c r="AB1385" s="30"/>
      <c r="AC1385" s="27"/>
      <c r="AD1385" s="31"/>
      <c r="AE1385" s="32" t="str">
        <f t="shared" si="107"/>
        <v/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4031</v>
      </c>
      <c r="C1386" s="41" t="s">
        <v>4032</v>
      </c>
      <c r="D1386" s="39" t="s">
        <v>3418</v>
      </c>
      <c r="E1386" s="43">
        <v>46125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43">
        <v>46193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30"/>
      <c r="X1386" s="30"/>
      <c r="Y1386" s="30"/>
      <c r="Z1386" s="30"/>
      <c r="AA1386" s="30"/>
      <c r="AB1386" s="30"/>
      <c r="AC1386" s="27"/>
      <c r="AD1386" s="31"/>
      <c r="AE1386" s="32" t="str">
        <f t="shared" si="107"/>
        <v/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4033</v>
      </c>
      <c r="C1387" s="25" t="s">
        <v>4034</v>
      </c>
      <c r="D1387" s="23" t="s">
        <v>3418</v>
      </c>
      <c r="E1387" s="43">
        <v>46125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43">
        <v>46193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30"/>
      <c r="X1387" s="30"/>
      <c r="Y1387" s="30"/>
      <c r="Z1387" s="30"/>
      <c r="AA1387" s="30"/>
      <c r="AB1387" s="30"/>
      <c r="AC1387" s="27"/>
      <c r="AD1387" s="31"/>
      <c r="AE1387" s="32" t="str">
        <f t="shared" si="107"/>
        <v/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4035</v>
      </c>
      <c r="C1388" s="41" t="s">
        <v>4036</v>
      </c>
      <c r="D1388" s="39" t="s">
        <v>3418</v>
      </c>
      <c r="E1388" s="43">
        <v>46125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43">
        <v>46193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30"/>
      <c r="X1388" s="30"/>
      <c r="Y1388" s="30"/>
      <c r="Z1388" s="30"/>
      <c r="AA1388" s="30"/>
      <c r="AB1388" s="30"/>
      <c r="AC1388" s="27"/>
      <c r="AD1388" s="31"/>
      <c r="AE1388" s="32" t="str">
        <f t="shared" si="107"/>
        <v/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4037</v>
      </c>
      <c r="C1389" s="25" t="s">
        <v>4038</v>
      </c>
      <c r="D1389" s="23" t="s">
        <v>3418</v>
      </c>
      <c r="E1389" s="43">
        <v>46125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43">
        <v>46193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30"/>
      <c r="X1389" s="30"/>
      <c r="Y1389" s="30"/>
      <c r="Z1389" s="30"/>
      <c r="AA1389" s="30"/>
      <c r="AB1389" s="30"/>
      <c r="AC1389" s="27"/>
      <c r="AD1389" s="31"/>
      <c r="AE1389" s="32" t="str">
        <f t="shared" si="107"/>
        <v/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4039</v>
      </c>
      <c r="C1390" s="41" t="s">
        <v>4040</v>
      </c>
      <c r="D1390" s="39" t="s">
        <v>3418</v>
      </c>
      <c r="E1390" s="43">
        <v>46125</v>
      </c>
      <c r="F1390" s="26" t="s">
        <v>55</v>
      </c>
      <c r="G1390" s="26" t="s">
        <v>56</v>
      </c>
      <c r="H1390" s="26" t="s">
        <v>57</v>
      </c>
      <c r="I1390" s="26" t="s">
        <v>58</v>
      </c>
      <c r="J1390" s="26" t="s">
        <v>56</v>
      </c>
      <c r="K1390" s="27"/>
      <c r="L1390" s="28" t="s">
        <v>57</v>
      </c>
      <c r="M1390" s="29" t="str">
        <f t="shared" si="105"/>
        <v>✓ OK</v>
      </c>
      <c r="N1390" s="43">
        <v>46193</v>
      </c>
      <c r="O1390" s="26" t="s">
        <v>55</v>
      </c>
      <c r="P1390" s="26" t="s">
        <v>56</v>
      </c>
      <c r="Q1390" s="26" t="s">
        <v>57</v>
      </c>
      <c r="R1390" s="26" t="s">
        <v>58</v>
      </c>
      <c r="S1390" s="26" t="s">
        <v>56</v>
      </c>
      <c r="T1390" s="27"/>
      <c r="U1390" s="28" t="s">
        <v>57</v>
      </c>
      <c r="V1390" s="29" t="str">
        <f t="shared" si="106"/>
        <v>✓ OK</v>
      </c>
      <c r="W1390" s="30"/>
      <c r="X1390" s="30"/>
      <c r="Y1390" s="30"/>
      <c r="Z1390" s="30"/>
      <c r="AA1390" s="30"/>
      <c r="AB1390" s="30"/>
      <c r="AC1390" s="27"/>
      <c r="AD1390" s="31"/>
      <c r="AE1390" s="32" t="str">
        <f t="shared" si="107"/>
        <v/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4041</v>
      </c>
      <c r="C1391" s="25" t="s">
        <v>4042</v>
      </c>
      <c r="D1391" s="23" t="s">
        <v>3418</v>
      </c>
      <c r="E1391" s="43">
        <v>46125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43">
        <v>46193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30"/>
      <c r="X1391" s="30"/>
      <c r="Y1391" s="30"/>
      <c r="Z1391" s="30"/>
      <c r="AA1391" s="30"/>
      <c r="AB1391" s="30"/>
      <c r="AC1391" s="27"/>
      <c r="AD1391" s="31"/>
      <c r="AE1391" s="32" t="str">
        <f t="shared" si="107"/>
        <v/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4043</v>
      </c>
      <c r="C1392" s="41" t="s">
        <v>4044</v>
      </c>
      <c r="D1392" s="39" t="s">
        <v>3418</v>
      </c>
      <c r="E1392" s="43">
        <v>46125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43">
        <v>46193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30"/>
      <c r="X1392" s="30"/>
      <c r="Y1392" s="30"/>
      <c r="Z1392" s="30"/>
      <c r="AA1392" s="30"/>
      <c r="AB1392" s="30"/>
      <c r="AC1392" s="27"/>
      <c r="AD1392" s="31"/>
      <c r="AE1392" s="32" t="str">
        <f t="shared" si="107"/>
        <v/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4045</v>
      </c>
      <c r="C1393" s="25" t="s">
        <v>4046</v>
      </c>
      <c r="D1393" s="23" t="s">
        <v>3418</v>
      </c>
      <c r="E1393" s="43">
        <v>46125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43">
        <v>46193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30"/>
      <c r="X1393" s="30"/>
      <c r="Y1393" s="30"/>
      <c r="Z1393" s="30"/>
      <c r="AA1393" s="30"/>
      <c r="AB1393" s="30"/>
      <c r="AC1393" s="27"/>
      <c r="AD1393" s="31"/>
      <c r="AE1393" s="32" t="str">
        <f t="shared" si="107"/>
        <v/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4047</v>
      </c>
      <c r="C1394" s="41" t="s">
        <v>4048</v>
      </c>
      <c r="D1394" s="39" t="s">
        <v>3418</v>
      </c>
      <c r="E1394" s="43">
        <v>46125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43">
        <v>46193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30"/>
      <c r="X1394" s="30"/>
      <c r="Y1394" s="30"/>
      <c r="Z1394" s="30"/>
      <c r="AA1394" s="30"/>
      <c r="AB1394" s="30"/>
      <c r="AC1394" s="27"/>
      <c r="AD1394" s="31"/>
      <c r="AE1394" s="32" t="str">
        <f t="shared" si="107"/>
        <v/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4049</v>
      </c>
      <c r="C1395" s="25" t="s">
        <v>4050</v>
      </c>
      <c r="D1395" s="23" t="s">
        <v>3418</v>
      </c>
      <c r="E1395" s="43">
        <v>46125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43">
        <v>46193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30"/>
      <c r="X1395" s="30"/>
      <c r="Y1395" s="30"/>
      <c r="Z1395" s="30"/>
      <c r="AA1395" s="30"/>
      <c r="AB1395" s="30"/>
      <c r="AC1395" s="27"/>
      <c r="AD1395" s="31"/>
      <c r="AE1395" s="32" t="str">
        <f t="shared" si="107"/>
        <v/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4051</v>
      </c>
      <c r="C1396" s="41" t="s">
        <v>4052</v>
      </c>
      <c r="D1396" s="39" t="s">
        <v>3418</v>
      </c>
      <c r="E1396" s="43">
        <v>46125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43">
        <v>46193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30"/>
      <c r="X1396" s="30"/>
      <c r="Y1396" s="30"/>
      <c r="Z1396" s="30"/>
      <c r="AA1396" s="30"/>
      <c r="AB1396" s="30"/>
      <c r="AC1396" s="27"/>
      <c r="AD1396" s="31"/>
      <c r="AE1396" s="32" t="str">
        <f t="shared" si="107"/>
        <v/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4053</v>
      </c>
      <c r="C1397" s="25" t="s">
        <v>4054</v>
      </c>
      <c r="D1397" s="23" t="s">
        <v>3418</v>
      </c>
      <c r="E1397" s="43">
        <v>46125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43">
        <v>46193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30"/>
      <c r="X1397" s="30"/>
      <c r="Y1397" s="30"/>
      <c r="Z1397" s="30"/>
      <c r="AA1397" s="30"/>
      <c r="AB1397" s="30"/>
      <c r="AC1397" s="27"/>
      <c r="AD1397" s="31"/>
      <c r="AE1397" s="32" t="str">
        <f t="shared" si="107"/>
        <v/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4055</v>
      </c>
      <c r="C1398" s="41" t="s">
        <v>4056</v>
      </c>
      <c r="D1398" s="39" t="s">
        <v>3418</v>
      </c>
      <c r="E1398" s="43">
        <v>46125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43">
        <v>46193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30"/>
      <c r="X1398" s="30"/>
      <c r="Y1398" s="30"/>
      <c r="Z1398" s="30"/>
      <c r="AA1398" s="30"/>
      <c r="AB1398" s="30"/>
      <c r="AC1398" s="27"/>
      <c r="AD1398" s="31"/>
      <c r="AE1398" s="32" t="str">
        <f t="shared" si="107"/>
        <v/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4057</v>
      </c>
      <c r="C1399" s="25" t="s">
        <v>4058</v>
      </c>
      <c r="D1399" s="23" t="s">
        <v>3418</v>
      </c>
      <c r="E1399" s="43">
        <v>46125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43">
        <v>46193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30"/>
      <c r="X1399" s="30"/>
      <c r="Y1399" s="30"/>
      <c r="Z1399" s="30"/>
      <c r="AA1399" s="30"/>
      <c r="AB1399" s="30"/>
      <c r="AC1399" s="27"/>
      <c r="AD1399" s="31"/>
      <c r="AE1399" s="32" t="str">
        <f t="shared" si="107"/>
        <v/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4059</v>
      </c>
      <c r="C1400" s="41" t="s">
        <v>4060</v>
      </c>
      <c r="D1400" s="39" t="s">
        <v>3418</v>
      </c>
      <c r="E1400" s="43">
        <v>46125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43">
        <v>46193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30"/>
      <c r="X1400" s="30"/>
      <c r="Y1400" s="30"/>
      <c r="Z1400" s="30"/>
      <c r="AA1400" s="30"/>
      <c r="AB1400" s="30"/>
      <c r="AC1400" s="27"/>
      <c r="AD1400" s="31"/>
      <c r="AE1400" s="32" t="str">
        <f t="shared" si="107"/>
        <v/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4061</v>
      </c>
      <c r="C1401" s="25" t="s">
        <v>4062</v>
      </c>
      <c r="D1401" s="23" t="s">
        <v>3418</v>
      </c>
      <c r="E1401" s="43">
        <v>46125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43">
        <v>46193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30"/>
      <c r="X1401" s="30"/>
      <c r="Y1401" s="30"/>
      <c r="Z1401" s="30"/>
      <c r="AA1401" s="30"/>
      <c r="AB1401" s="30"/>
      <c r="AC1401" s="27"/>
      <c r="AD1401" s="31"/>
      <c r="AE1401" s="32" t="str">
        <f t="shared" si="107"/>
        <v/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4063</v>
      </c>
      <c r="C1402" s="41" t="s">
        <v>4064</v>
      </c>
      <c r="D1402" s="39" t="s">
        <v>3418</v>
      </c>
      <c r="E1402" s="43">
        <v>46125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43">
        <v>46193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30"/>
      <c r="X1402" s="30"/>
      <c r="Y1402" s="30"/>
      <c r="Z1402" s="30"/>
      <c r="AA1402" s="30"/>
      <c r="AB1402" s="30"/>
      <c r="AC1402" s="27"/>
      <c r="AD1402" s="31"/>
      <c r="AE1402" s="32" t="str">
        <f t="shared" si="107"/>
        <v/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4065</v>
      </c>
      <c r="C1403" s="25" t="s">
        <v>4066</v>
      </c>
      <c r="D1403" s="23" t="s">
        <v>3418</v>
      </c>
      <c r="E1403" s="43">
        <v>46125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43">
        <v>46193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30"/>
      <c r="X1403" s="30"/>
      <c r="Y1403" s="30"/>
      <c r="Z1403" s="30"/>
      <c r="AA1403" s="30"/>
      <c r="AB1403" s="30"/>
      <c r="AC1403" s="27"/>
      <c r="AD1403" s="31"/>
      <c r="AE1403" s="32" t="str">
        <f t="shared" si="107"/>
        <v/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4067</v>
      </c>
      <c r="C1404" s="41" t="s">
        <v>4068</v>
      </c>
      <c r="D1404" s="39" t="s">
        <v>3418</v>
      </c>
      <c r="E1404" s="43">
        <v>46125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43">
        <v>46193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30"/>
      <c r="X1404" s="30"/>
      <c r="Y1404" s="30"/>
      <c r="Z1404" s="30"/>
      <c r="AA1404" s="30"/>
      <c r="AB1404" s="30"/>
      <c r="AC1404" s="27"/>
      <c r="AD1404" s="31"/>
      <c r="AE1404" s="32" t="str">
        <f t="shared" si="107"/>
        <v/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4069</v>
      </c>
      <c r="C1405" s="25" t="s">
        <v>4070</v>
      </c>
      <c r="D1405" s="23" t="s">
        <v>3418</v>
      </c>
      <c r="E1405" s="43">
        <v>46125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43">
        <v>46193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30"/>
      <c r="X1405" s="30"/>
      <c r="Y1405" s="30"/>
      <c r="Z1405" s="30"/>
      <c r="AA1405" s="30"/>
      <c r="AB1405" s="30"/>
      <c r="AC1405" s="27"/>
      <c r="AD1405" s="31"/>
      <c r="AE1405" s="32" t="str">
        <f t="shared" si="107"/>
        <v/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4071</v>
      </c>
      <c r="C1406" s="41" t="s">
        <v>4072</v>
      </c>
      <c r="D1406" s="39" t="s">
        <v>3418</v>
      </c>
      <c r="E1406" s="43">
        <v>46125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43">
        <v>46193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30"/>
      <c r="X1406" s="30"/>
      <c r="Y1406" s="30"/>
      <c r="Z1406" s="30"/>
      <c r="AA1406" s="30"/>
      <c r="AB1406" s="30"/>
      <c r="AC1406" s="27"/>
      <c r="AD1406" s="31"/>
      <c r="AE1406" s="32" t="str">
        <f t="shared" si="107"/>
        <v/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4073</v>
      </c>
      <c r="C1407" s="25" t="s">
        <v>4074</v>
      </c>
      <c r="D1407" s="23" t="s">
        <v>3418</v>
      </c>
      <c r="E1407" s="43">
        <v>46125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43">
        <v>46193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30"/>
      <c r="X1407" s="30"/>
      <c r="Y1407" s="30"/>
      <c r="Z1407" s="30"/>
      <c r="AA1407" s="30"/>
      <c r="AB1407" s="30"/>
      <c r="AC1407" s="27"/>
      <c r="AD1407" s="31"/>
      <c r="AE1407" s="32" t="str">
        <f t="shared" si="107"/>
        <v/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4075</v>
      </c>
      <c r="C1408" s="41" t="s">
        <v>4076</v>
      </c>
      <c r="D1408" s="39" t="s">
        <v>3418</v>
      </c>
      <c r="E1408" s="43">
        <v>46125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43">
        <v>46193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30"/>
      <c r="X1408" s="30"/>
      <c r="Y1408" s="30"/>
      <c r="Z1408" s="30"/>
      <c r="AA1408" s="30"/>
      <c r="AB1408" s="30"/>
      <c r="AC1408" s="27"/>
      <c r="AD1408" s="31"/>
      <c r="AE1408" s="32" t="str">
        <f t="shared" si="107"/>
        <v/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4077</v>
      </c>
      <c r="C1409" s="25" t="s">
        <v>4078</v>
      </c>
      <c r="D1409" s="23" t="s">
        <v>3418</v>
      </c>
      <c r="E1409" s="43">
        <v>46125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43">
        <v>46193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30"/>
      <c r="X1409" s="30"/>
      <c r="Y1409" s="30"/>
      <c r="Z1409" s="30"/>
      <c r="AA1409" s="30"/>
      <c r="AB1409" s="30"/>
      <c r="AC1409" s="27"/>
      <c r="AD1409" s="31"/>
      <c r="AE1409" s="32" t="str">
        <f t="shared" si="107"/>
        <v/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4079</v>
      </c>
      <c r="C1410" s="41" t="s">
        <v>4080</v>
      </c>
      <c r="D1410" s="39" t="s">
        <v>3418</v>
      </c>
      <c r="E1410" s="43">
        <v>46125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43">
        <v>46193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30"/>
      <c r="X1410" s="30"/>
      <c r="Y1410" s="30"/>
      <c r="Z1410" s="30"/>
      <c r="AA1410" s="30"/>
      <c r="AB1410" s="30"/>
      <c r="AC1410" s="27"/>
      <c r="AD1410" s="31"/>
      <c r="AE1410" s="32" t="str">
        <f t="shared" si="107"/>
        <v/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4081</v>
      </c>
      <c r="C1411" s="25" t="s">
        <v>4082</v>
      </c>
      <c r="D1411" s="23" t="s">
        <v>3418</v>
      </c>
      <c r="E1411" s="43">
        <v>46125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43">
        <v>46193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30"/>
      <c r="X1411" s="30"/>
      <c r="Y1411" s="30"/>
      <c r="Z1411" s="30"/>
      <c r="AA1411" s="30"/>
      <c r="AB1411" s="30"/>
      <c r="AC1411" s="27"/>
      <c r="AD1411" s="31"/>
      <c r="AE1411" s="32" t="str">
        <f t="shared" si="107"/>
        <v/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4083</v>
      </c>
      <c r="C1412" s="41" t="s">
        <v>4084</v>
      </c>
      <c r="D1412" s="39" t="s">
        <v>3418</v>
      </c>
      <c r="E1412" s="43">
        <v>46125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43">
        <v>46193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30"/>
      <c r="X1412" s="30"/>
      <c r="Y1412" s="30"/>
      <c r="Z1412" s="30"/>
      <c r="AA1412" s="30"/>
      <c r="AB1412" s="30"/>
      <c r="AC1412" s="27"/>
      <c r="AD1412" s="31"/>
      <c r="AE1412" s="32" t="str">
        <f t="shared" si="107"/>
        <v/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4085</v>
      </c>
      <c r="C1413" s="25" t="s">
        <v>4086</v>
      </c>
      <c r="D1413" s="23" t="s">
        <v>3418</v>
      </c>
      <c r="E1413" s="43">
        <v>46125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43">
        <v>46193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30"/>
      <c r="X1413" s="30"/>
      <c r="Y1413" s="30"/>
      <c r="Z1413" s="30"/>
      <c r="AA1413" s="30"/>
      <c r="AB1413" s="30"/>
      <c r="AC1413" s="27"/>
      <c r="AD1413" s="31"/>
      <c r="AE1413" s="32" t="str">
        <f t="shared" si="107"/>
        <v/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1413 O5:AW1413">
    <cfRule type="expression" dxfId="527" priority="56">
      <formula>MOD(ROW(),2)=0</formula>
    </cfRule>
  </conditionalFormatting>
  <conditionalFormatting sqref="G5:G1413">
    <cfRule type="expression" dxfId="526" priority="16">
      <formula>G5="No"</formula>
    </cfRule>
    <cfRule type="expression" dxfId="525" priority="15">
      <formula>G5="Yes"</formula>
    </cfRule>
  </conditionalFormatting>
  <conditionalFormatting sqref="H5:H1413">
    <cfRule type="expression" dxfId="524" priority="17">
      <formula>H5="Yes"</formula>
    </cfRule>
  </conditionalFormatting>
  <conditionalFormatting sqref="J5:J1413">
    <cfRule type="expression" dxfId="523" priority="18">
      <formula>J5="Yes"</formula>
    </cfRule>
    <cfRule type="expression" dxfId="522" priority="19">
      <formula>J5="No"</formula>
    </cfRule>
  </conditionalFormatting>
  <conditionalFormatting sqref="M5:M1413">
    <cfRule type="expression" dxfId="521" priority="12">
      <formula>M5="❌ Disc"</formula>
    </cfRule>
    <cfRule type="expression" dxfId="520" priority="13">
      <formula>M5="⚠ Missing"</formula>
    </cfRule>
    <cfRule type="expression" dxfId="519" priority="14">
      <formula>M5="⚠ Check"</formula>
    </cfRule>
    <cfRule type="expression" dxfId="518" priority="11">
      <formula>M5="✓ OK"</formula>
    </cfRule>
  </conditionalFormatting>
  <conditionalFormatting sqref="P5:P1413">
    <cfRule type="expression" dxfId="517" priority="24">
      <formula>P5="Yes"</formula>
    </cfRule>
    <cfRule type="expression" dxfId="516" priority="25">
      <formula>P5="No"</formula>
    </cfRule>
  </conditionalFormatting>
  <conditionalFormatting sqref="Q5:Q1413">
    <cfRule type="expression" dxfId="515" priority="26">
      <formula>Q5="Yes"</formula>
    </cfRule>
  </conditionalFormatting>
  <conditionalFormatting sqref="S5:S1413">
    <cfRule type="expression" dxfId="514" priority="27">
      <formula>S5="Yes"</formula>
    </cfRule>
    <cfRule type="expression" dxfId="513" priority="28">
      <formula>S5="No"</formula>
    </cfRule>
  </conditionalFormatting>
  <conditionalFormatting sqref="V5:V1413">
    <cfRule type="expression" dxfId="512" priority="20">
      <formula>V5="✓ OK"</formula>
    </cfRule>
    <cfRule type="expression" dxfId="511" priority="21">
      <formula>V5="❌ Disc"</formula>
    </cfRule>
    <cfRule type="expression" dxfId="510" priority="22">
      <formula>V5="⚠ Missing"</formula>
    </cfRule>
    <cfRule type="expression" dxfId="509" priority="23">
      <formula>V5="⚠ Check"</formula>
    </cfRule>
  </conditionalFormatting>
  <conditionalFormatting sqref="Y5:Y1413">
    <cfRule type="expression" dxfId="508" priority="34">
      <formula>Y5="No"</formula>
    </cfRule>
    <cfRule type="expression" dxfId="507" priority="33">
      <formula>Y5="Yes"</formula>
    </cfRule>
  </conditionalFormatting>
  <conditionalFormatting sqref="Z5:Z1413">
    <cfRule type="expression" dxfId="506" priority="35">
      <formula>Z5="Yes"</formula>
    </cfRule>
  </conditionalFormatting>
  <conditionalFormatting sqref="AB5:AB1413">
    <cfRule type="expression" dxfId="505" priority="36">
      <formula>AB5="Yes"</formula>
    </cfRule>
    <cfRule type="expression" dxfId="504" priority="37">
      <formula>AB5="No"</formula>
    </cfRule>
  </conditionalFormatting>
  <conditionalFormatting sqref="AE5:AE1413">
    <cfRule type="expression" dxfId="503" priority="30">
      <formula>AE5="❌ Disc"</formula>
    </cfRule>
    <cfRule type="expression" dxfId="502" priority="31">
      <formula>AE5="⚠ Missing"</formula>
    </cfRule>
    <cfRule type="expression" dxfId="501" priority="32">
      <formula>AE5="⚠ Check"</formula>
    </cfRule>
    <cfRule type="expression" dxfId="500" priority="29">
      <formula>AE5="✓ OK"</formula>
    </cfRule>
  </conditionalFormatting>
  <conditionalFormatting sqref="AH5:AH1413">
    <cfRule type="expression" dxfId="499" priority="42">
      <formula>AH5="Yes"</formula>
    </cfRule>
    <cfRule type="expression" dxfId="498" priority="43">
      <formula>AH5="No"</formula>
    </cfRule>
  </conditionalFormatting>
  <conditionalFormatting sqref="AI5:AI1413">
    <cfRule type="expression" dxfId="497" priority="44">
      <formula>AI5="Yes"</formula>
    </cfRule>
  </conditionalFormatting>
  <conditionalFormatting sqref="AK5:AK1413">
    <cfRule type="expression" dxfId="496" priority="45">
      <formula>AK5="Yes"</formula>
    </cfRule>
    <cfRule type="expression" dxfId="495" priority="46">
      <formula>AK5="No"</formula>
    </cfRule>
  </conditionalFormatting>
  <conditionalFormatting sqref="AN5:AN1413">
    <cfRule type="expression" dxfId="494" priority="39">
      <formula>AN5="❌ Disc"</formula>
    </cfRule>
    <cfRule type="expression" dxfId="493" priority="40">
      <formula>AN5="⚠ Missing"</formula>
    </cfRule>
    <cfRule type="expression" dxfId="492" priority="41">
      <formula>AN5="⚠ Check"</formula>
    </cfRule>
    <cfRule type="expression" dxfId="491" priority="38">
      <formula>AN5="✓ OK"</formula>
    </cfRule>
  </conditionalFormatting>
  <conditionalFormatting sqref="AQ5:AQ1413">
    <cfRule type="expression" dxfId="490" priority="52">
      <formula>AQ5="No"</formula>
    </cfRule>
    <cfRule type="expression" dxfId="489" priority="51">
      <formula>AQ5="Yes"</formula>
    </cfRule>
  </conditionalFormatting>
  <conditionalFormatting sqref="AR5:AR1413">
    <cfRule type="expression" dxfId="488" priority="53">
      <formula>AR5="Yes"</formula>
    </cfRule>
  </conditionalFormatting>
  <conditionalFormatting sqref="AT5:AT1413">
    <cfRule type="expression" dxfId="487" priority="54">
      <formula>AT5="Yes"</formula>
    </cfRule>
    <cfRule type="expression" dxfId="486" priority="55">
      <formula>AT5="No"</formula>
    </cfRule>
  </conditionalFormatting>
  <conditionalFormatting sqref="AW5:AW1413">
    <cfRule type="expression" dxfId="485" priority="47">
      <formula>AW5="✓ OK"</formula>
    </cfRule>
    <cfRule type="expression" dxfId="484" priority="48">
      <formula>AW5="❌ Disc"</formula>
    </cfRule>
    <cfRule type="expression" dxfId="483" priority="49">
      <formula>AW5="⚠ Missing"</formula>
    </cfRule>
    <cfRule type="expression" dxfId="482" priority="50">
      <formula>AW5="⚠ Check"</formula>
    </cfRule>
  </conditionalFormatting>
  <conditionalFormatting sqref="P5:P1413">
    <cfRule type="expression" dxfId="82" priority="6">
      <formula>P5="Yes"</formula>
    </cfRule>
    <cfRule type="expression" dxfId="83" priority="7">
      <formula>P5="No"</formula>
    </cfRule>
  </conditionalFormatting>
  <conditionalFormatting sqref="Q5:Q1413">
    <cfRule type="expression" dxfId="81" priority="8">
      <formula>Q5="Yes"</formula>
    </cfRule>
  </conditionalFormatting>
  <conditionalFormatting sqref="S5:S1413">
    <cfRule type="expression" dxfId="80" priority="9">
      <formula>S5="Yes"</formula>
    </cfRule>
    <cfRule type="expression" dxfId="79" priority="10">
      <formula>S5="No"</formula>
    </cfRule>
  </conditionalFormatting>
  <conditionalFormatting sqref="V5:V1413">
    <cfRule type="expression" dxfId="75" priority="2">
      <formula>V5="✓ OK"</formula>
    </cfRule>
    <cfRule type="expression" dxfId="78" priority="3">
      <formula>V5="❌ Disc"</formula>
    </cfRule>
    <cfRule type="expression" dxfId="77" priority="4">
      <formula>V5="⚠ Missing"</formula>
    </cfRule>
    <cfRule type="expression" dxfId="76" priority="5">
      <formula>V5="⚠ Check"</formula>
    </cfRule>
  </conditionalFormatting>
  <conditionalFormatting sqref="N5:N1413">
    <cfRule type="expression" dxfId="74" priority="1">
      <formula>MOD(ROW(),2)=0</formula>
    </cfRule>
  </conditionalFormatting>
  <dataValidations count="2">
    <dataValidation type="list" allowBlank="1" sqref="AT5:AT1413 AQ5:AR1413 AK5:AK1413 AH5:AI1413 AB5:AB1413 Y5:Z1413 G5:H1413 J5:J1413 P5:Q1413 S5:S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K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4087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4088</v>
      </c>
      <c r="C5" s="25" t="s">
        <v>4089</v>
      </c>
      <c r="D5" s="23" t="s">
        <v>4090</v>
      </c>
      <c r="E5" s="43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" si="0">IF(E5="","",IF(H5="Yes","❌ Disc",IF(G5="No","⚠ Missing",IF(J5="Yes","✓ OK","⚠ Check"))))</f>
        <v>✓ OK</v>
      </c>
      <c r="N5" s="4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4091</v>
      </c>
      <c r="C6" s="41" t="s">
        <v>4092</v>
      </c>
      <c r="D6" s="39" t="s">
        <v>4090</v>
      </c>
      <c r="E6" s="43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ref="M6:M69" si="5">IF(E6="","",IF(H6="Yes","❌ Disc",IF(G6="No","⚠ Missing",IF(J6="Yes","✓ OK","⚠ Check"))))</f>
        <v>✓ OK</v>
      </c>
      <c r="N6" s="4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ref="AE6:AE69" si="6">IF(W6="","",IF(Z6="Yes","❌ Disc",IF(Y6="No","⚠ Missing",IF(AB6="Yes","✓ OK","⚠ Check"))))</f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ref="AN6:AN69" si="7"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ref="AW6:AW69" si="8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4093</v>
      </c>
      <c r="C7" s="25" t="s">
        <v>4094</v>
      </c>
      <c r="D7" s="23" t="s">
        <v>4090</v>
      </c>
      <c r="E7" s="43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5"/>
        <v>✓ OK</v>
      </c>
      <c r="N7" s="4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6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7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8"/>
        <v/>
      </c>
    </row>
    <row r="8" spans="1:49" ht="18" customHeight="1" x14ac:dyDescent="0.3">
      <c r="A8" s="39">
        <v>4</v>
      </c>
      <c r="B8" s="40" t="s">
        <v>4095</v>
      </c>
      <c r="C8" s="41" t="s">
        <v>4096</v>
      </c>
      <c r="D8" s="39" t="s">
        <v>4090</v>
      </c>
      <c r="E8" s="43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5"/>
        <v>✓ OK</v>
      </c>
      <c r="N8" s="4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6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7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8"/>
        <v/>
      </c>
    </row>
    <row r="9" spans="1:49" ht="18" customHeight="1" x14ac:dyDescent="0.3">
      <c r="A9" s="23">
        <v>5</v>
      </c>
      <c r="B9" s="24" t="s">
        <v>4097</v>
      </c>
      <c r="C9" s="25" t="s">
        <v>4098</v>
      </c>
      <c r="D9" s="23" t="s">
        <v>4090</v>
      </c>
      <c r="E9" s="43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5"/>
        <v>✓ OK</v>
      </c>
      <c r="N9" s="4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6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7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8"/>
        <v/>
      </c>
    </row>
    <row r="10" spans="1:49" ht="18" customHeight="1" x14ac:dyDescent="0.3">
      <c r="A10" s="39">
        <v>6</v>
      </c>
      <c r="B10" s="40" t="s">
        <v>4099</v>
      </c>
      <c r="C10" s="41" t="s">
        <v>4100</v>
      </c>
      <c r="D10" s="39" t="s">
        <v>4090</v>
      </c>
      <c r="E10" s="43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5"/>
        <v>✓ OK</v>
      </c>
      <c r="N10" s="4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6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7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8"/>
        <v/>
      </c>
    </row>
    <row r="11" spans="1:49" ht="18" customHeight="1" x14ac:dyDescent="0.3">
      <c r="A11" s="23">
        <v>7</v>
      </c>
      <c r="B11" s="24" t="s">
        <v>4101</v>
      </c>
      <c r="C11" s="25" t="s">
        <v>4102</v>
      </c>
      <c r="D11" s="23" t="s">
        <v>4090</v>
      </c>
      <c r="E11" s="43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5"/>
        <v>✓ OK</v>
      </c>
      <c r="N11" s="4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6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7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8"/>
        <v/>
      </c>
    </row>
    <row r="12" spans="1:49" ht="18" customHeight="1" x14ac:dyDescent="0.3">
      <c r="A12" s="39">
        <v>8</v>
      </c>
      <c r="B12" s="40" t="s">
        <v>4103</v>
      </c>
      <c r="C12" s="41" t="s">
        <v>4104</v>
      </c>
      <c r="D12" s="39" t="s">
        <v>4090</v>
      </c>
      <c r="E12" s="43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5"/>
        <v>✓ OK</v>
      </c>
      <c r="N12" s="4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6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7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8"/>
        <v/>
      </c>
    </row>
    <row r="13" spans="1:49" ht="18" customHeight="1" x14ac:dyDescent="0.3">
      <c r="A13" s="23">
        <v>9</v>
      </c>
      <c r="B13" s="24" t="s">
        <v>4105</v>
      </c>
      <c r="C13" s="25" t="s">
        <v>4106</v>
      </c>
      <c r="D13" s="23" t="s">
        <v>4090</v>
      </c>
      <c r="E13" s="43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5"/>
        <v>✓ OK</v>
      </c>
      <c r="N13" s="4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6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7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8"/>
        <v/>
      </c>
    </row>
    <row r="14" spans="1:49" ht="18" customHeight="1" x14ac:dyDescent="0.3">
      <c r="A14" s="39">
        <v>10</v>
      </c>
      <c r="B14" s="40" t="s">
        <v>4107</v>
      </c>
      <c r="C14" s="41" t="s">
        <v>4108</v>
      </c>
      <c r="D14" s="39" t="s">
        <v>4090</v>
      </c>
      <c r="E14" s="43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5"/>
        <v>✓ OK</v>
      </c>
      <c r="N14" s="4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6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7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8"/>
        <v/>
      </c>
    </row>
    <row r="15" spans="1:49" ht="18" customHeight="1" x14ac:dyDescent="0.3">
      <c r="A15" s="23">
        <v>11</v>
      </c>
      <c r="B15" s="24" t="s">
        <v>4109</v>
      </c>
      <c r="C15" s="25" t="s">
        <v>4110</v>
      </c>
      <c r="D15" s="23" t="s">
        <v>4090</v>
      </c>
      <c r="E15" s="43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5"/>
        <v>✓ OK</v>
      </c>
      <c r="N15" s="4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6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7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8"/>
        <v/>
      </c>
    </row>
    <row r="16" spans="1:49" ht="18" customHeight="1" x14ac:dyDescent="0.3">
      <c r="A16" s="39">
        <v>12</v>
      </c>
      <c r="B16" s="40" t="s">
        <v>4111</v>
      </c>
      <c r="C16" s="41" t="s">
        <v>4112</v>
      </c>
      <c r="D16" s="39" t="s">
        <v>4090</v>
      </c>
      <c r="E16" s="43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5"/>
        <v>✓ OK</v>
      </c>
      <c r="N16" s="4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6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7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8"/>
        <v/>
      </c>
    </row>
    <row r="17" spans="1:49" ht="18" customHeight="1" x14ac:dyDescent="0.3">
      <c r="A17" s="23">
        <v>13</v>
      </c>
      <c r="B17" s="24" t="s">
        <v>4113</v>
      </c>
      <c r="C17" s="25" t="s">
        <v>4114</v>
      </c>
      <c r="D17" s="23" t="s">
        <v>4090</v>
      </c>
      <c r="E17" s="43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5"/>
        <v>✓ OK</v>
      </c>
      <c r="N17" s="43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6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7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8"/>
        <v/>
      </c>
    </row>
    <row r="18" spans="1:49" ht="18" customHeight="1" x14ac:dyDescent="0.3">
      <c r="A18" s="39">
        <v>14</v>
      </c>
      <c r="B18" s="40" t="s">
        <v>4115</v>
      </c>
      <c r="C18" s="41" t="s">
        <v>4116</v>
      </c>
      <c r="D18" s="39" t="s">
        <v>4090</v>
      </c>
      <c r="E18" s="43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5"/>
        <v>✓ OK</v>
      </c>
      <c r="N18" s="43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6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7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8"/>
        <v/>
      </c>
    </row>
    <row r="19" spans="1:49" ht="18" customHeight="1" x14ac:dyDescent="0.3">
      <c r="A19" s="23">
        <v>15</v>
      </c>
      <c r="B19" s="24" t="s">
        <v>4117</v>
      </c>
      <c r="C19" s="25" t="s">
        <v>4118</v>
      </c>
      <c r="D19" s="23" t="s">
        <v>4090</v>
      </c>
      <c r="E19" s="43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5"/>
        <v>✓ OK</v>
      </c>
      <c r="N19" s="43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6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7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8"/>
        <v/>
      </c>
    </row>
    <row r="20" spans="1:49" ht="18" customHeight="1" x14ac:dyDescent="0.3">
      <c r="A20" s="39">
        <v>16</v>
      </c>
      <c r="B20" s="40" t="s">
        <v>4119</v>
      </c>
      <c r="C20" s="41" t="s">
        <v>4120</v>
      </c>
      <c r="D20" s="39" t="s">
        <v>4090</v>
      </c>
      <c r="E20" s="43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5"/>
        <v>✓ OK</v>
      </c>
      <c r="N20" s="43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6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7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8"/>
        <v/>
      </c>
    </row>
    <row r="21" spans="1:49" ht="18" customHeight="1" x14ac:dyDescent="0.3">
      <c r="A21" s="23">
        <v>17</v>
      </c>
      <c r="B21" s="24" t="s">
        <v>4121</v>
      </c>
      <c r="C21" s="25" t="s">
        <v>4122</v>
      </c>
      <c r="D21" s="23" t="s">
        <v>4090</v>
      </c>
      <c r="E21" s="43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5"/>
        <v>✓ OK</v>
      </c>
      <c r="N21" s="43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6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7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8"/>
        <v/>
      </c>
    </row>
    <row r="22" spans="1:49" ht="18" customHeight="1" x14ac:dyDescent="0.3">
      <c r="A22" s="39">
        <v>18</v>
      </c>
      <c r="B22" s="40" t="s">
        <v>4123</v>
      </c>
      <c r="C22" s="41" t="s">
        <v>4124</v>
      </c>
      <c r="D22" s="39" t="s">
        <v>4090</v>
      </c>
      <c r="E22" s="43">
        <v>46126</v>
      </c>
      <c r="F22" s="26" t="s">
        <v>55</v>
      </c>
      <c r="G22" s="26" t="s">
        <v>57</v>
      </c>
      <c r="H22" s="26" t="s">
        <v>57</v>
      </c>
      <c r="I22" s="26" t="s">
        <v>153</v>
      </c>
      <c r="J22" s="26" t="s">
        <v>57</v>
      </c>
      <c r="K22" s="27"/>
      <c r="L22" s="28" t="s">
        <v>56</v>
      </c>
      <c r="M22" s="29" t="str">
        <f t="shared" si="5"/>
        <v>⚠ Missing</v>
      </c>
      <c r="N22" s="43">
        <v>46196</v>
      </c>
      <c r="O22" s="26" t="s">
        <v>55</v>
      </c>
      <c r="P22" s="26" t="s">
        <v>57</v>
      </c>
      <c r="Q22" s="26" t="s">
        <v>57</v>
      </c>
      <c r="R22" s="26" t="s">
        <v>153</v>
      </c>
      <c r="S22" s="26" t="s">
        <v>57</v>
      </c>
      <c r="T22" s="27"/>
      <c r="U22" s="28" t="s">
        <v>56</v>
      </c>
      <c r="V22" s="29" t="str">
        <f t="shared" si="1"/>
        <v>⚠ Missing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6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7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8"/>
        <v/>
      </c>
    </row>
    <row r="23" spans="1:49" ht="18" customHeight="1" x14ac:dyDescent="0.3">
      <c r="A23" s="23">
        <v>19</v>
      </c>
      <c r="B23" s="24" t="s">
        <v>4125</v>
      </c>
      <c r="C23" s="25" t="s">
        <v>4126</v>
      </c>
      <c r="D23" s="23" t="s">
        <v>4090</v>
      </c>
      <c r="E23" s="43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5"/>
        <v>✓ OK</v>
      </c>
      <c r="N23" s="43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6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7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8"/>
        <v/>
      </c>
    </row>
    <row r="24" spans="1:49" ht="18" customHeight="1" x14ac:dyDescent="0.3">
      <c r="A24" s="39">
        <v>20</v>
      </c>
      <c r="B24" s="40" t="s">
        <v>4127</v>
      </c>
      <c r="C24" s="41" t="s">
        <v>4128</v>
      </c>
      <c r="D24" s="39" t="s">
        <v>4090</v>
      </c>
      <c r="E24" s="43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5"/>
        <v>✓ OK</v>
      </c>
      <c r="N24" s="43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6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7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8"/>
        <v/>
      </c>
    </row>
    <row r="25" spans="1:49" ht="18" customHeight="1" x14ac:dyDescent="0.3">
      <c r="A25" s="23">
        <v>21</v>
      </c>
      <c r="B25" s="24" t="s">
        <v>4129</v>
      </c>
      <c r="C25" s="25" t="s">
        <v>4130</v>
      </c>
      <c r="D25" s="23" t="s">
        <v>4090</v>
      </c>
      <c r="E25" s="43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5"/>
        <v>✓ OK</v>
      </c>
      <c r="N25" s="43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6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7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8"/>
        <v/>
      </c>
    </row>
    <row r="26" spans="1:49" ht="18" customHeight="1" x14ac:dyDescent="0.3">
      <c r="A26" s="39">
        <v>22</v>
      </c>
      <c r="B26" s="40" t="s">
        <v>4131</v>
      </c>
      <c r="C26" s="41" t="s">
        <v>4132</v>
      </c>
      <c r="D26" s="39" t="s">
        <v>4090</v>
      </c>
      <c r="E26" s="43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5"/>
        <v>✓ OK</v>
      </c>
      <c r="N26" s="43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6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7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8"/>
        <v/>
      </c>
    </row>
    <row r="27" spans="1:49" ht="18" customHeight="1" x14ac:dyDescent="0.3">
      <c r="A27" s="23">
        <v>23</v>
      </c>
      <c r="B27" s="24" t="s">
        <v>4133</v>
      </c>
      <c r="C27" s="25" t="s">
        <v>4134</v>
      </c>
      <c r="D27" s="23" t="s">
        <v>4090</v>
      </c>
      <c r="E27" s="43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5"/>
        <v>✓ OK</v>
      </c>
      <c r="N27" s="43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6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7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8"/>
        <v/>
      </c>
    </row>
    <row r="28" spans="1:49" ht="18" customHeight="1" x14ac:dyDescent="0.3">
      <c r="A28" s="39">
        <v>24</v>
      </c>
      <c r="B28" s="40" t="s">
        <v>4135</v>
      </c>
      <c r="C28" s="41" t="s">
        <v>4136</v>
      </c>
      <c r="D28" s="39" t="s">
        <v>4090</v>
      </c>
      <c r="E28" s="43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5"/>
        <v>✓ OK</v>
      </c>
      <c r="N28" s="43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6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7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8"/>
        <v/>
      </c>
    </row>
    <row r="29" spans="1:49" ht="18" customHeight="1" x14ac:dyDescent="0.3">
      <c r="A29" s="23">
        <v>25</v>
      </c>
      <c r="B29" s="24" t="s">
        <v>4137</v>
      </c>
      <c r="C29" s="25" t="s">
        <v>4138</v>
      </c>
      <c r="D29" s="23" t="s">
        <v>4090</v>
      </c>
      <c r="E29" s="43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5"/>
        <v>✓ OK</v>
      </c>
      <c r="N29" s="43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6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7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8"/>
        <v/>
      </c>
    </row>
    <row r="30" spans="1:49" ht="18" customHeight="1" x14ac:dyDescent="0.3">
      <c r="A30" s="39">
        <v>26</v>
      </c>
      <c r="B30" s="40" t="s">
        <v>4139</v>
      </c>
      <c r="C30" s="41" t="s">
        <v>4140</v>
      </c>
      <c r="D30" s="39" t="s">
        <v>4090</v>
      </c>
      <c r="E30" s="43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5"/>
        <v>✓ OK</v>
      </c>
      <c r="N30" s="43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6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7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8"/>
        <v/>
      </c>
    </row>
    <row r="31" spans="1:49" ht="18" customHeight="1" x14ac:dyDescent="0.3">
      <c r="A31" s="23">
        <v>27</v>
      </c>
      <c r="B31" s="24" t="s">
        <v>4141</v>
      </c>
      <c r="C31" s="25" t="s">
        <v>4142</v>
      </c>
      <c r="D31" s="23" t="s">
        <v>4090</v>
      </c>
      <c r="E31" s="43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5"/>
        <v>✓ OK</v>
      </c>
      <c r="N31" s="43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6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7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8"/>
        <v/>
      </c>
    </row>
    <row r="32" spans="1:49" ht="18" customHeight="1" x14ac:dyDescent="0.3">
      <c r="A32" s="39">
        <v>28</v>
      </c>
      <c r="B32" s="40" t="s">
        <v>4143</v>
      </c>
      <c r="C32" s="41" t="s">
        <v>4144</v>
      </c>
      <c r="D32" s="39" t="s">
        <v>4090</v>
      </c>
      <c r="E32" s="43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5"/>
        <v>✓ OK</v>
      </c>
      <c r="N32" s="43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6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7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8"/>
        <v/>
      </c>
    </row>
    <row r="33" spans="1:49" ht="18" customHeight="1" x14ac:dyDescent="0.3">
      <c r="A33" s="23">
        <v>29</v>
      </c>
      <c r="B33" s="24" t="s">
        <v>4145</v>
      </c>
      <c r="C33" s="25" t="s">
        <v>4146</v>
      </c>
      <c r="D33" s="23" t="s">
        <v>4090</v>
      </c>
      <c r="E33" s="43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5"/>
        <v>✓ OK</v>
      </c>
      <c r="N33" s="43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6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7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8"/>
        <v/>
      </c>
    </row>
    <row r="34" spans="1:49" ht="18" customHeight="1" x14ac:dyDescent="0.3">
      <c r="A34" s="39">
        <v>30</v>
      </c>
      <c r="B34" s="40" t="s">
        <v>4147</v>
      </c>
      <c r="C34" s="41" t="s">
        <v>4148</v>
      </c>
      <c r="D34" s="39" t="s">
        <v>4090</v>
      </c>
      <c r="E34" s="43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5"/>
        <v>✓ OK</v>
      </c>
      <c r="N34" s="43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6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7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8"/>
        <v/>
      </c>
    </row>
    <row r="35" spans="1:49" ht="18" customHeight="1" x14ac:dyDescent="0.3">
      <c r="A35" s="23">
        <v>31</v>
      </c>
      <c r="B35" s="24" t="s">
        <v>4149</v>
      </c>
      <c r="C35" s="25" t="s">
        <v>4150</v>
      </c>
      <c r="D35" s="23" t="s">
        <v>4090</v>
      </c>
      <c r="E35" s="43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5"/>
        <v>✓ OK</v>
      </c>
      <c r="N35" s="43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6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7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8"/>
        <v/>
      </c>
    </row>
    <row r="36" spans="1:49" ht="18" customHeight="1" x14ac:dyDescent="0.3">
      <c r="A36" s="39">
        <v>32</v>
      </c>
      <c r="B36" s="40" t="s">
        <v>4151</v>
      </c>
      <c r="C36" s="41" t="s">
        <v>4152</v>
      </c>
      <c r="D36" s="39" t="s">
        <v>4090</v>
      </c>
      <c r="E36" s="43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5"/>
        <v>✓ OK</v>
      </c>
      <c r="N36" s="43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6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7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8"/>
        <v/>
      </c>
    </row>
    <row r="37" spans="1:49" ht="18" customHeight="1" x14ac:dyDescent="0.3">
      <c r="A37" s="23">
        <v>33</v>
      </c>
      <c r="B37" s="24" t="s">
        <v>4153</v>
      </c>
      <c r="C37" s="25" t="s">
        <v>4154</v>
      </c>
      <c r="D37" s="23" t="s">
        <v>4090</v>
      </c>
      <c r="E37" s="43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5"/>
        <v>✓ OK</v>
      </c>
      <c r="N37" s="43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6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7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8"/>
        <v/>
      </c>
    </row>
    <row r="38" spans="1:49" ht="18" customHeight="1" x14ac:dyDescent="0.3">
      <c r="A38" s="39">
        <v>34</v>
      </c>
      <c r="B38" s="40" t="s">
        <v>4155</v>
      </c>
      <c r="C38" s="41" t="s">
        <v>4156</v>
      </c>
      <c r="D38" s="39" t="s">
        <v>4090</v>
      </c>
      <c r="E38" s="43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3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4157</v>
      </c>
      <c r="C39" s="25" t="s">
        <v>4158</v>
      </c>
      <c r="D39" s="23" t="s">
        <v>4090</v>
      </c>
      <c r="E39" s="43">
        <v>46126</v>
      </c>
      <c r="F39" s="26" t="s">
        <v>55</v>
      </c>
      <c r="G39" s="26" t="s">
        <v>57</v>
      </c>
      <c r="H39" s="26" t="s">
        <v>57</v>
      </c>
      <c r="I39" s="26" t="s">
        <v>153</v>
      </c>
      <c r="J39" s="26" t="s">
        <v>57</v>
      </c>
      <c r="K39" s="27"/>
      <c r="L39" s="28" t="s">
        <v>56</v>
      </c>
      <c r="M39" s="29" t="str">
        <f t="shared" si="5"/>
        <v>⚠ Missing</v>
      </c>
      <c r="N39" s="43">
        <v>46196</v>
      </c>
      <c r="O39" s="26" t="s">
        <v>55</v>
      </c>
      <c r="P39" s="26" t="s">
        <v>57</v>
      </c>
      <c r="Q39" s="26" t="s">
        <v>57</v>
      </c>
      <c r="R39" s="26" t="s">
        <v>153</v>
      </c>
      <c r="S39" s="26" t="s">
        <v>57</v>
      </c>
      <c r="T39" s="27"/>
      <c r="U39" s="28" t="s">
        <v>56</v>
      </c>
      <c r="V39" s="29" t="str">
        <f t="shared" si="1"/>
        <v>⚠ Missing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4159</v>
      </c>
      <c r="C40" s="41" t="s">
        <v>4160</v>
      </c>
      <c r="D40" s="39" t="s">
        <v>4090</v>
      </c>
      <c r="E40" s="43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3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4161</v>
      </c>
      <c r="C41" s="25" t="s">
        <v>4162</v>
      </c>
      <c r="D41" s="23" t="s">
        <v>4090</v>
      </c>
      <c r="E41" s="43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3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4163</v>
      </c>
      <c r="C42" s="41" t="s">
        <v>4164</v>
      </c>
      <c r="D42" s="39" t="s">
        <v>4090</v>
      </c>
      <c r="E42" s="43">
        <v>46126</v>
      </c>
      <c r="F42" s="26" t="s">
        <v>55</v>
      </c>
      <c r="G42" s="26" t="s">
        <v>57</v>
      </c>
      <c r="H42" s="26" t="s">
        <v>57</v>
      </c>
      <c r="I42" s="26" t="s">
        <v>153</v>
      </c>
      <c r="J42" s="26" t="s">
        <v>57</v>
      </c>
      <c r="K42" s="27"/>
      <c r="L42" s="28" t="s">
        <v>56</v>
      </c>
      <c r="M42" s="29" t="str">
        <f t="shared" si="5"/>
        <v>⚠ Missing</v>
      </c>
      <c r="N42" s="43">
        <v>46196</v>
      </c>
      <c r="O42" s="26" t="s">
        <v>55</v>
      </c>
      <c r="P42" s="26" t="s">
        <v>57</v>
      </c>
      <c r="Q42" s="26" t="s">
        <v>57</v>
      </c>
      <c r="R42" s="26" t="s">
        <v>153</v>
      </c>
      <c r="S42" s="26" t="s">
        <v>57</v>
      </c>
      <c r="T42" s="27"/>
      <c r="U42" s="28" t="s">
        <v>56</v>
      </c>
      <c r="V42" s="29" t="str">
        <f t="shared" si="1"/>
        <v>⚠ Missing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4165</v>
      </c>
      <c r="C43" s="25" t="s">
        <v>4166</v>
      </c>
      <c r="D43" s="23" t="s">
        <v>4090</v>
      </c>
      <c r="E43" s="43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3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4167</v>
      </c>
      <c r="C44" s="41" t="s">
        <v>4168</v>
      </c>
      <c r="D44" s="39" t="s">
        <v>4090</v>
      </c>
      <c r="E44" s="43">
        <v>46126</v>
      </c>
      <c r="F44" s="26" t="s">
        <v>55</v>
      </c>
      <c r="G44" s="26" t="s">
        <v>57</v>
      </c>
      <c r="H44" s="26" t="s">
        <v>57</v>
      </c>
      <c r="I44" s="26" t="s">
        <v>153</v>
      </c>
      <c r="J44" s="26" t="s">
        <v>57</v>
      </c>
      <c r="K44" s="27"/>
      <c r="L44" s="28" t="s">
        <v>56</v>
      </c>
      <c r="M44" s="29" t="str">
        <f t="shared" si="5"/>
        <v>⚠ Missing</v>
      </c>
      <c r="N44" s="43">
        <v>46196</v>
      </c>
      <c r="O44" s="26" t="s">
        <v>55</v>
      </c>
      <c r="P44" s="26" t="s">
        <v>57</v>
      </c>
      <c r="Q44" s="26" t="s">
        <v>57</v>
      </c>
      <c r="R44" s="26" t="s">
        <v>153</v>
      </c>
      <c r="S44" s="26" t="s">
        <v>57</v>
      </c>
      <c r="T44" s="27"/>
      <c r="U44" s="28" t="s">
        <v>56</v>
      </c>
      <c r="V44" s="29" t="str">
        <f t="shared" si="1"/>
        <v>⚠ Missing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4169</v>
      </c>
      <c r="C45" s="25" t="s">
        <v>4170</v>
      </c>
      <c r="D45" s="23" t="s">
        <v>4090</v>
      </c>
      <c r="E45" s="43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3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4171</v>
      </c>
      <c r="C46" s="41" t="s">
        <v>4172</v>
      </c>
      <c r="D46" s="39" t="s">
        <v>4090</v>
      </c>
      <c r="E46" s="43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3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4173</v>
      </c>
      <c r="C47" s="25" t="s">
        <v>4174</v>
      </c>
      <c r="D47" s="23" t="s">
        <v>4090</v>
      </c>
      <c r="E47" s="43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3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4175</v>
      </c>
      <c r="C48" s="41" t="s">
        <v>4176</v>
      </c>
      <c r="D48" s="39" t="s">
        <v>4177</v>
      </c>
      <c r="E48" s="43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3">
        <v>46196</v>
      </c>
      <c r="O48" s="26" t="s">
        <v>55</v>
      </c>
      <c r="P48" s="26" t="s">
        <v>57</v>
      </c>
      <c r="Q48" s="26" t="s">
        <v>56</v>
      </c>
      <c r="R48" s="26" t="s">
        <v>6225</v>
      </c>
      <c r="S48" s="26" t="s">
        <v>57</v>
      </c>
      <c r="T48" s="27"/>
      <c r="U48" s="28" t="s">
        <v>57</v>
      </c>
      <c r="V48" s="29" t="str">
        <f t="shared" si="1"/>
        <v>❌ Disc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4178</v>
      </c>
      <c r="C49" s="25" t="s">
        <v>4179</v>
      </c>
      <c r="D49" s="23" t="s">
        <v>4177</v>
      </c>
      <c r="E49" s="43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3">
        <v>46196</v>
      </c>
      <c r="O49" s="26" t="s">
        <v>55</v>
      </c>
      <c r="P49" s="26" t="s">
        <v>57</v>
      </c>
      <c r="Q49" s="26" t="s">
        <v>56</v>
      </c>
      <c r="R49" s="26" t="s">
        <v>6225</v>
      </c>
      <c r="S49" s="26" t="s">
        <v>57</v>
      </c>
      <c r="T49" s="27"/>
      <c r="U49" s="28" t="s">
        <v>57</v>
      </c>
      <c r="V49" s="29" t="str">
        <f t="shared" si="1"/>
        <v>❌ Disc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4180</v>
      </c>
      <c r="C50" s="41" t="s">
        <v>4181</v>
      </c>
      <c r="D50" s="39" t="s">
        <v>4177</v>
      </c>
      <c r="E50" s="43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3">
        <v>46196</v>
      </c>
      <c r="O50" s="26" t="s">
        <v>55</v>
      </c>
      <c r="P50" s="26" t="s">
        <v>57</v>
      </c>
      <c r="Q50" s="26" t="s">
        <v>56</v>
      </c>
      <c r="R50" s="26" t="s">
        <v>6225</v>
      </c>
      <c r="S50" s="26" t="s">
        <v>57</v>
      </c>
      <c r="T50" s="27"/>
      <c r="U50" s="28" t="s">
        <v>57</v>
      </c>
      <c r="V50" s="29" t="str">
        <f t="shared" si="1"/>
        <v>❌ Disc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4182</v>
      </c>
      <c r="C51" s="25" t="s">
        <v>4183</v>
      </c>
      <c r="D51" s="23" t="s">
        <v>4177</v>
      </c>
      <c r="E51" s="43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3">
        <v>46196</v>
      </c>
      <c r="O51" s="26" t="s">
        <v>55</v>
      </c>
      <c r="P51" s="26" t="s">
        <v>57</v>
      </c>
      <c r="Q51" s="26" t="s">
        <v>56</v>
      </c>
      <c r="R51" s="26" t="s">
        <v>6225</v>
      </c>
      <c r="S51" s="26" t="s">
        <v>57</v>
      </c>
      <c r="T51" s="27"/>
      <c r="U51" s="28" t="s">
        <v>57</v>
      </c>
      <c r="V51" s="29" t="str">
        <f t="shared" si="1"/>
        <v>❌ Disc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4184</v>
      </c>
      <c r="C52" s="41" t="s">
        <v>4185</v>
      </c>
      <c r="D52" s="39" t="s">
        <v>4177</v>
      </c>
      <c r="E52" s="43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3">
        <v>46196</v>
      </c>
      <c r="O52" s="26" t="s">
        <v>55</v>
      </c>
      <c r="P52" s="26" t="s">
        <v>57</v>
      </c>
      <c r="Q52" s="26" t="s">
        <v>56</v>
      </c>
      <c r="R52" s="26" t="s">
        <v>6225</v>
      </c>
      <c r="S52" s="26" t="s">
        <v>57</v>
      </c>
      <c r="T52" s="27"/>
      <c r="U52" s="28" t="s">
        <v>57</v>
      </c>
      <c r="V52" s="29" t="str">
        <f t="shared" si="1"/>
        <v>❌ Disc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4186</v>
      </c>
      <c r="C53" s="25" t="s">
        <v>4187</v>
      </c>
      <c r="D53" s="23" t="s">
        <v>4177</v>
      </c>
      <c r="E53" s="43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3">
        <v>46196</v>
      </c>
      <c r="O53" s="26" t="s">
        <v>55</v>
      </c>
      <c r="P53" s="26" t="s">
        <v>57</v>
      </c>
      <c r="Q53" s="26" t="s">
        <v>56</v>
      </c>
      <c r="R53" s="26" t="s">
        <v>6225</v>
      </c>
      <c r="S53" s="26" t="s">
        <v>57</v>
      </c>
      <c r="T53" s="27"/>
      <c r="U53" s="28" t="s">
        <v>57</v>
      </c>
      <c r="V53" s="29" t="str">
        <f t="shared" si="1"/>
        <v>❌ Disc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4188</v>
      </c>
      <c r="C54" s="41" t="s">
        <v>4189</v>
      </c>
      <c r="D54" s="39" t="s">
        <v>4177</v>
      </c>
      <c r="E54" s="43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3">
        <v>46196</v>
      </c>
      <c r="O54" s="26" t="s">
        <v>55</v>
      </c>
      <c r="P54" s="26" t="s">
        <v>57</v>
      </c>
      <c r="Q54" s="26" t="s">
        <v>56</v>
      </c>
      <c r="R54" s="26" t="s">
        <v>6225</v>
      </c>
      <c r="S54" s="26" t="s">
        <v>57</v>
      </c>
      <c r="T54" s="27"/>
      <c r="U54" s="28" t="s">
        <v>57</v>
      </c>
      <c r="V54" s="29" t="str">
        <f t="shared" si="1"/>
        <v>❌ Disc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4190</v>
      </c>
      <c r="C55" s="25" t="s">
        <v>4191</v>
      </c>
      <c r="D55" s="23" t="s">
        <v>4177</v>
      </c>
      <c r="E55" s="43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3">
        <v>46196</v>
      </c>
      <c r="O55" s="26" t="s">
        <v>55</v>
      </c>
      <c r="P55" s="26" t="s">
        <v>57</v>
      </c>
      <c r="Q55" s="26" t="s">
        <v>56</v>
      </c>
      <c r="R55" s="26" t="s">
        <v>6225</v>
      </c>
      <c r="S55" s="26" t="s">
        <v>57</v>
      </c>
      <c r="T55" s="27"/>
      <c r="U55" s="28" t="s">
        <v>57</v>
      </c>
      <c r="V55" s="29" t="str">
        <f t="shared" si="1"/>
        <v>❌ Disc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4192</v>
      </c>
      <c r="C56" s="41" t="s">
        <v>4193</v>
      </c>
      <c r="D56" s="39" t="s">
        <v>4177</v>
      </c>
      <c r="E56" s="43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3">
        <v>46196</v>
      </c>
      <c r="O56" s="26" t="s">
        <v>55</v>
      </c>
      <c r="P56" s="26" t="s">
        <v>57</v>
      </c>
      <c r="Q56" s="26" t="s">
        <v>56</v>
      </c>
      <c r="R56" s="26" t="s">
        <v>6225</v>
      </c>
      <c r="S56" s="26" t="s">
        <v>57</v>
      </c>
      <c r="T56" s="27"/>
      <c r="U56" s="28" t="s">
        <v>57</v>
      </c>
      <c r="V56" s="29" t="str">
        <f t="shared" si="1"/>
        <v>❌ Disc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4194</v>
      </c>
      <c r="C57" s="25" t="s">
        <v>4195</v>
      </c>
      <c r="D57" s="23" t="s">
        <v>4177</v>
      </c>
      <c r="E57" s="43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3">
        <v>46196</v>
      </c>
      <c r="O57" s="26" t="s">
        <v>55</v>
      </c>
      <c r="P57" s="26" t="s">
        <v>57</v>
      </c>
      <c r="Q57" s="26" t="s">
        <v>56</v>
      </c>
      <c r="R57" s="26" t="s">
        <v>6225</v>
      </c>
      <c r="S57" s="26" t="s">
        <v>57</v>
      </c>
      <c r="T57" s="27"/>
      <c r="U57" s="28" t="s">
        <v>57</v>
      </c>
      <c r="V57" s="29" t="str">
        <f t="shared" si="1"/>
        <v>❌ Disc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4196</v>
      </c>
      <c r="C58" s="41" t="s">
        <v>4197</v>
      </c>
      <c r="D58" s="39" t="s">
        <v>4198</v>
      </c>
      <c r="E58" s="43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3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4199</v>
      </c>
      <c r="C59" s="25" t="s">
        <v>4200</v>
      </c>
      <c r="D59" s="23" t="s">
        <v>4198</v>
      </c>
      <c r="E59" s="43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3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4201</v>
      </c>
      <c r="C60" s="41" t="s">
        <v>4202</v>
      </c>
      <c r="D60" s="39" t="s">
        <v>4198</v>
      </c>
      <c r="E60" s="43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3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4203</v>
      </c>
      <c r="C61" s="25" t="s">
        <v>4204</v>
      </c>
      <c r="D61" s="23" t="s">
        <v>4198</v>
      </c>
      <c r="E61" s="43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3">
        <v>46196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4205</v>
      </c>
      <c r="C62" s="41" t="s">
        <v>4206</v>
      </c>
      <c r="D62" s="39" t="s">
        <v>4198</v>
      </c>
      <c r="E62" s="43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3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4207</v>
      </c>
      <c r="C63" s="25" t="s">
        <v>4208</v>
      </c>
      <c r="D63" s="23" t="s">
        <v>4198</v>
      </c>
      <c r="E63" s="43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3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4209</v>
      </c>
      <c r="C64" s="41" t="s">
        <v>4210</v>
      </c>
      <c r="D64" s="39" t="s">
        <v>4198</v>
      </c>
      <c r="E64" s="43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3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4211</v>
      </c>
      <c r="C65" s="25" t="s">
        <v>4212</v>
      </c>
      <c r="D65" s="23" t="s">
        <v>4198</v>
      </c>
      <c r="E65" s="43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3">
        <v>46196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4213</v>
      </c>
      <c r="C66" s="41" t="s">
        <v>4214</v>
      </c>
      <c r="D66" s="39" t="s">
        <v>4198</v>
      </c>
      <c r="E66" s="43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3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4215</v>
      </c>
      <c r="C67" s="25" t="s">
        <v>4216</v>
      </c>
      <c r="D67" s="23" t="s">
        <v>4198</v>
      </c>
      <c r="E67" s="43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3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4217</v>
      </c>
      <c r="C68" s="41" t="s">
        <v>4218</v>
      </c>
      <c r="D68" s="39" t="s">
        <v>4198</v>
      </c>
      <c r="E68" s="43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3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4219</v>
      </c>
      <c r="C69" s="25" t="s">
        <v>4220</v>
      </c>
      <c r="D69" s="23" t="s">
        <v>4198</v>
      </c>
      <c r="E69" s="43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43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17" si="9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si="6"/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7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8"/>
        <v/>
      </c>
    </row>
    <row r="70" spans="1:49" ht="18" customHeight="1" x14ac:dyDescent="0.3">
      <c r="A70" s="39">
        <v>66</v>
      </c>
      <c r="B70" s="40" t="s">
        <v>4221</v>
      </c>
      <c r="C70" s="41" t="s">
        <v>4222</v>
      </c>
      <c r="D70" s="39" t="s">
        <v>4198</v>
      </c>
      <c r="E70" s="43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ref="M70:M117" si="10">IF(E70="","",IF(H70="Yes","❌ Disc",IF(G70="No","⚠ Missing",IF(J70="Yes","✓ OK","⚠ Check"))))</f>
        <v>✓ OK</v>
      </c>
      <c r="N70" s="43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ref="AE70:AE117" si="11">IF(W70="","",IF(Z70="Yes","❌ Disc",IF(Y70="No","⚠ Missing",IF(AB70="Yes","✓ OK","⚠ Check"))))</f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ref="AN70:AN117" si="12"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ref="AW70:AW117" si="13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4223</v>
      </c>
      <c r="C71" s="25" t="s">
        <v>4224</v>
      </c>
      <c r="D71" s="23" t="s">
        <v>4198</v>
      </c>
      <c r="E71" s="43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3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4225</v>
      </c>
      <c r="C72" s="41" t="s">
        <v>4226</v>
      </c>
      <c r="D72" s="39" t="s">
        <v>4198</v>
      </c>
      <c r="E72" s="43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3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4227</v>
      </c>
      <c r="C73" s="25" t="s">
        <v>4228</v>
      </c>
      <c r="D73" s="23" t="s">
        <v>4198</v>
      </c>
      <c r="E73" s="43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3">
        <v>46196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9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4229</v>
      </c>
      <c r="C74" s="41" t="s">
        <v>4230</v>
      </c>
      <c r="D74" s="39" t="s">
        <v>4198</v>
      </c>
      <c r="E74" s="43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43">
        <v>46196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4231</v>
      </c>
      <c r="C75" s="25" t="s">
        <v>4232</v>
      </c>
      <c r="D75" s="23" t="s">
        <v>4198</v>
      </c>
      <c r="E75" s="43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3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4233</v>
      </c>
      <c r="C76" s="41" t="s">
        <v>4234</v>
      </c>
      <c r="D76" s="39" t="s">
        <v>4198</v>
      </c>
      <c r="E76" s="43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3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4235</v>
      </c>
      <c r="C77" s="25" t="s">
        <v>4236</v>
      </c>
      <c r="D77" s="23" t="s">
        <v>4198</v>
      </c>
      <c r="E77" s="43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3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x14ac:dyDescent="0.3">
      <c r="A78">
        <v>74</v>
      </c>
      <c r="B78" t="s">
        <v>4237</v>
      </c>
      <c r="C78" t="s">
        <v>4238</v>
      </c>
      <c r="D78" t="s">
        <v>4239</v>
      </c>
      <c r="E78" s="43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3">
        <v>46196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x14ac:dyDescent="0.3">
      <c r="A79">
        <v>75</v>
      </c>
      <c r="B79" t="s">
        <v>4240</v>
      </c>
      <c r="C79" t="s">
        <v>4241</v>
      </c>
      <c r="D79" t="s">
        <v>4239</v>
      </c>
      <c r="E79" s="43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3">
        <v>46196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x14ac:dyDescent="0.3">
      <c r="A80">
        <v>76</v>
      </c>
      <c r="B80" t="s">
        <v>4242</v>
      </c>
      <c r="C80" t="s">
        <v>4243</v>
      </c>
      <c r="D80" t="s">
        <v>4239</v>
      </c>
      <c r="E80" s="43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3">
        <v>46196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x14ac:dyDescent="0.3">
      <c r="A81">
        <v>77</v>
      </c>
      <c r="B81" t="s">
        <v>4244</v>
      </c>
      <c r="C81" t="s">
        <v>4245</v>
      </c>
      <c r="D81" t="s">
        <v>4239</v>
      </c>
      <c r="E81" s="43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43">
        <v>46196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x14ac:dyDescent="0.3">
      <c r="A82">
        <v>78</v>
      </c>
      <c r="B82" t="s">
        <v>4246</v>
      </c>
      <c r="C82" t="s">
        <v>4247</v>
      </c>
      <c r="D82" t="s">
        <v>4239</v>
      </c>
      <c r="E82" s="43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43">
        <v>46196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x14ac:dyDescent="0.3">
      <c r="A83">
        <v>79</v>
      </c>
      <c r="B83" t="s">
        <v>4248</v>
      </c>
      <c r="C83" t="s">
        <v>4249</v>
      </c>
      <c r="D83" t="s">
        <v>4239</v>
      </c>
      <c r="E83" s="43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43">
        <v>46196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x14ac:dyDescent="0.3">
      <c r="A84">
        <v>80</v>
      </c>
      <c r="B84" t="s">
        <v>4250</v>
      </c>
      <c r="C84" t="s">
        <v>4251</v>
      </c>
      <c r="D84" t="s">
        <v>4239</v>
      </c>
      <c r="E84" s="43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43">
        <v>46196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x14ac:dyDescent="0.3">
      <c r="A85">
        <v>81</v>
      </c>
      <c r="B85" t="s">
        <v>4252</v>
      </c>
      <c r="C85" t="s">
        <v>4253</v>
      </c>
      <c r="D85" t="s">
        <v>4239</v>
      </c>
      <c r="E85" s="43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43">
        <v>46196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  <row r="86" spans="1:49" x14ac:dyDescent="0.3">
      <c r="A86">
        <v>82</v>
      </c>
      <c r="B86" t="s">
        <v>4254</v>
      </c>
      <c r="C86" t="s">
        <v>4255</v>
      </c>
      <c r="D86" t="s">
        <v>4239</v>
      </c>
      <c r="E86" s="43">
        <v>46126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0"/>
        <v>✓ OK</v>
      </c>
      <c r="N86" s="43">
        <v>46196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11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2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3"/>
        <v/>
      </c>
    </row>
    <row r="87" spans="1:49" x14ac:dyDescent="0.3">
      <c r="A87">
        <v>83</v>
      </c>
      <c r="B87" t="s">
        <v>4256</v>
      </c>
      <c r="C87" t="s">
        <v>4257</v>
      </c>
      <c r="D87" t="s">
        <v>4239</v>
      </c>
      <c r="E87" s="43">
        <v>46126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0"/>
        <v>✓ OK</v>
      </c>
      <c r="N87" s="43">
        <v>46196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11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2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3"/>
        <v/>
      </c>
    </row>
    <row r="88" spans="1:49" x14ac:dyDescent="0.3">
      <c r="A88">
        <v>84</v>
      </c>
      <c r="B88" t="s">
        <v>4258</v>
      </c>
      <c r="C88" t="s">
        <v>4259</v>
      </c>
      <c r="D88" t="s">
        <v>4239</v>
      </c>
      <c r="E88" s="43">
        <v>46126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0"/>
        <v>✓ OK</v>
      </c>
      <c r="N88" s="43">
        <v>46196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11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2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3"/>
        <v/>
      </c>
    </row>
    <row r="89" spans="1:49" x14ac:dyDescent="0.3">
      <c r="A89">
        <v>85</v>
      </c>
      <c r="B89" t="s">
        <v>4260</v>
      </c>
      <c r="C89" t="s">
        <v>4261</v>
      </c>
      <c r="D89" t="s">
        <v>4239</v>
      </c>
      <c r="E89" s="43">
        <v>46126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0"/>
        <v>✓ OK</v>
      </c>
      <c r="N89" s="43">
        <v>46196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9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11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2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3"/>
        <v/>
      </c>
    </row>
    <row r="90" spans="1:49" x14ac:dyDescent="0.3">
      <c r="A90">
        <v>86</v>
      </c>
      <c r="B90" t="s">
        <v>4262</v>
      </c>
      <c r="C90" t="s">
        <v>4263</v>
      </c>
      <c r="D90" t="s">
        <v>4239</v>
      </c>
      <c r="E90" s="43">
        <v>46126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0"/>
        <v>✓ OK</v>
      </c>
      <c r="N90" s="43">
        <v>46196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9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11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2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3"/>
        <v/>
      </c>
    </row>
    <row r="91" spans="1:49" x14ac:dyDescent="0.3">
      <c r="A91">
        <v>87</v>
      </c>
      <c r="B91" t="s">
        <v>4264</v>
      </c>
      <c r="C91" t="s">
        <v>4265</v>
      </c>
      <c r="D91" t="s">
        <v>4239</v>
      </c>
      <c r="E91" s="43">
        <v>46126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0"/>
        <v>✓ OK</v>
      </c>
      <c r="N91" s="43">
        <v>46196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9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11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2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3"/>
        <v/>
      </c>
    </row>
    <row r="92" spans="1:49" x14ac:dyDescent="0.3">
      <c r="A92">
        <v>88</v>
      </c>
      <c r="B92" t="s">
        <v>4266</v>
      </c>
      <c r="C92" t="s">
        <v>4267</v>
      </c>
      <c r="D92" t="s">
        <v>4239</v>
      </c>
      <c r="E92" s="43">
        <v>46126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0"/>
        <v>✓ OK</v>
      </c>
      <c r="N92" s="43">
        <v>46196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9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11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2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3"/>
        <v/>
      </c>
    </row>
    <row r="93" spans="1:49" x14ac:dyDescent="0.3">
      <c r="A93">
        <v>89</v>
      </c>
      <c r="B93" t="s">
        <v>4268</v>
      </c>
      <c r="C93" t="s">
        <v>4269</v>
      </c>
      <c r="D93" t="s">
        <v>4239</v>
      </c>
      <c r="E93" s="43">
        <v>46126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0"/>
        <v>✓ OK</v>
      </c>
      <c r="N93" s="43">
        <v>46196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9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11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2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3"/>
        <v/>
      </c>
    </row>
    <row r="94" spans="1:49" x14ac:dyDescent="0.3">
      <c r="A94">
        <v>90</v>
      </c>
      <c r="B94" t="s">
        <v>4270</v>
      </c>
      <c r="C94" t="s">
        <v>4271</v>
      </c>
      <c r="D94" t="s">
        <v>4239</v>
      </c>
      <c r="E94" s="43">
        <v>46126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0"/>
        <v>✓ OK</v>
      </c>
      <c r="N94" s="43">
        <v>46196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9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11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2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3"/>
        <v/>
      </c>
    </row>
    <row r="95" spans="1:49" x14ac:dyDescent="0.3">
      <c r="A95">
        <v>91</v>
      </c>
      <c r="B95" t="s">
        <v>4272</v>
      </c>
      <c r="C95" t="s">
        <v>4273</v>
      </c>
      <c r="D95" t="s">
        <v>4239</v>
      </c>
      <c r="E95" s="43">
        <v>46126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0"/>
        <v>✓ OK</v>
      </c>
      <c r="N95" s="43">
        <v>46196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11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2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3"/>
        <v/>
      </c>
    </row>
    <row r="96" spans="1:49" x14ac:dyDescent="0.3">
      <c r="A96">
        <v>92</v>
      </c>
      <c r="B96" t="s">
        <v>4274</v>
      </c>
      <c r="C96" t="s">
        <v>4275</v>
      </c>
      <c r="D96" t="s">
        <v>4239</v>
      </c>
      <c r="E96" s="43">
        <v>46126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0"/>
        <v>✓ OK</v>
      </c>
      <c r="N96" s="43">
        <v>46196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9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11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2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3"/>
        <v/>
      </c>
    </row>
    <row r="97" spans="1:49" x14ac:dyDescent="0.3">
      <c r="A97">
        <v>93</v>
      </c>
      <c r="B97" t="s">
        <v>4276</v>
      </c>
      <c r="C97" t="s">
        <v>4277</v>
      </c>
      <c r="D97" t="s">
        <v>4239</v>
      </c>
      <c r="E97" s="43">
        <v>46126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0"/>
        <v>✓ OK</v>
      </c>
      <c r="N97" s="43">
        <v>46196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11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2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3"/>
        <v/>
      </c>
    </row>
    <row r="98" spans="1:49" x14ac:dyDescent="0.3">
      <c r="A98">
        <v>94</v>
      </c>
      <c r="B98" t="s">
        <v>4278</v>
      </c>
      <c r="C98" t="s">
        <v>4279</v>
      </c>
      <c r="D98" t="s">
        <v>4239</v>
      </c>
      <c r="E98" s="43">
        <v>46126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0"/>
        <v>✓ OK</v>
      </c>
      <c r="N98" s="43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9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11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2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3"/>
        <v/>
      </c>
    </row>
    <row r="99" spans="1:49" x14ac:dyDescent="0.3">
      <c r="A99">
        <v>95</v>
      </c>
      <c r="B99" t="s">
        <v>4280</v>
      </c>
      <c r="C99" t="s">
        <v>4281</v>
      </c>
      <c r="D99" t="s">
        <v>4239</v>
      </c>
      <c r="E99" s="43">
        <v>46126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0"/>
        <v>✓ OK</v>
      </c>
      <c r="N99" s="43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11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2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3"/>
        <v/>
      </c>
    </row>
    <row r="100" spans="1:49" x14ac:dyDescent="0.3">
      <c r="A100">
        <v>96</v>
      </c>
      <c r="B100" t="s">
        <v>4282</v>
      </c>
      <c r="C100" t="s">
        <v>4283</v>
      </c>
      <c r="D100" t="s">
        <v>4239</v>
      </c>
      <c r="E100" s="43">
        <v>46126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0"/>
        <v>✓ OK</v>
      </c>
      <c r="N100" s="43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11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2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3"/>
        <v/>
      </c>
    </row>
    <row r="101" spans="1:49" x14ac:dyDescent="0.3">
      <c r="A101">
        <v>97</v>
      </c>
      <c r="B101" t="s">
        <v>4284</v>
      </c>
      <c r="C101" t="s">
        <v>4285</v>
      </c>
      <c r="D101" t="s">
        <v>4239</v>
      </c>
      <c r="E101" s="43">
        <v>46126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10"/>
        <v>✓ OK</v>
      </c>
      <c r="N101" s="43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9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11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2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3"/>
        <v/>
      </c>
    </row>
    <row r="102" spans="1:49" x14ac:dyDescent="0.3">
      <c r="A102">
        <v>98</v>
      </c>
      <c r="B102" t="s">
        <v>4286</v>
      </c>
      <c r="C102" t="s">
        <v>4287</v>
      </c>
      <c r="D102" t="s">
        <v>4239</v>
      </c>
      <c r="E102" s="43">
        <v>46126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0"/>
        <v>✓ OK</v>
      </c>
      <c r="N102" s="43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11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2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3"/>
        <v/>
      </c>
    </row>
    <row r="103" spans="1:49" x14ac:dyDescent="0.3">
      <c r="A103">
        <v>99</v>
      </c>
      <c r="B103" t="s">
        <v>4288</v>
      </c>
      <c r="C103" t="s">
        <v>4289</v>
      </c>
      <c r="D103" t="s">
        <v>4239</v>
      </c>
      <c r="E103" s="43">
        <v>46126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0"/>
        <v>✓ OK</v>
      </c>
      <c r="N103" s="43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11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2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3"/>
        <v/>
      </c>
    </row>
    <row r="104" spans="1:49" x14ac:dyDescent="0.3">
      <c r="A104">
        <v>100</v>
      </c>
      <c r="B104" t="s">
        <v>4290</v>
      </c>
      <c r="C104" t="s">
        <v>4291</v>
      </c>
      <c r="D104" t="s">
        <v>4239</v>
      </c>
      <c r="E104" s="43">
        <v>46126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0"/>
        <v>✓ OK</v>
      </c>
      <c r="N104" s="43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11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2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3"/>
        <v/>
      </c>
    </row>
    <row r="105" spans="1:49" x14ac:dyDescent="0.3">
      <c r="A105">
        <v>101</v>
      </c>
      <c r="B105" t="s">
        <v>4292</v>
      </c>
      <c r="C105" t="s">
        <v>4293</v>
      </c>
      <c r="D105" t="s">
        <v>4239</v>
      </c>
      <c r="E105" s="43">
        <v>46126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0"/>
        <v>✓ OK</v>
      </c>
      <c r="N105" s="43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9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11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2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3"/>
        <v/>
      </c>
    </row>
    <row r="106" spans="1:49" x14ac:dyDescent="0.3">
      <c r="A106">
        <v>102</v>
      </c>
      <c r="B106" t="s">
        <v>4294</v>
      </c>
      <c r="C106" t="s">
        <v>4295</v>
      </c>
      <c r="D106" t="s">
        <v>4239</v>
      </c>
      <c r="E106" s="43">
        <v>46126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0"/>
        <v>✓ OK</v>
      </c>
      <c r="N106" s="43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9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11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2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3"/>
        <v/>
      </c>
    </row>
    <row r="107" spans="1:49" x14ac:dyDescent="0.3">
      <c r="A107">
        <v>103</v>
      </c>
      <c r="B107" t="s">
        <v>4296</v>
      </c>
      <c r="C107" t="s">
        <v>4297</v>
      </c>
      <c r="D107" t="s">
        <v>4239</v>
      </c>
      <c r="E107" s="43">
        <v>46126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0"/>
        <v>✓ OK</v>
      </c>
      <c r="N107" s="43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9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11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2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3"/>
        <v/>
      </c>
    </row>
    <row r="108" spans="1:49" x14ac:dyDescent="0.3">
      <c r="A108">
        <v>104</v>
      </c>
      <c r="B108" t="s">
        <v>4298</v>
      </c>
      <c r="C108" t="s">
        <v>4299</v>
      </c>
      <c r="D108" t="s">
        <v>4239</v>
      </c>
      <c r="E108" s="43">
        <v>46126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0"/>
        <v>✓ OK</v>
      </c>
      <c r="N108" s="43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11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2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3"/>
        <v/>
      </c>
    </row>
    <row r="109" spans="1:49" x14ac:dyDescent="0.3">
      <c r="A109">
        <v>105</v>
      </c>
      <c r="B109" t="s">
        <v>4300</v>
      </c>
      <c r="C109" t="s">
        <v>4301</v>
      </c>
      <c r="D109" t="s">
        <v>4239</v>
      </c>
      <c r="E109" s="43">
        <v>46126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0"/>
        <v>✓ OK</v>
      </c>
      <c r="N109" s="43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11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2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3"/>
        <v/>
      </c>
    </row>
    <row r="110" spans="1:49" x14ac:dyDescent="0.3">
      <c r="A110">
        <v>106</v>
      </c>
      <c r="B110" t="s">
        <v>4302</v>
      </c>
      <c r="C110" t="s">
        <v>4303</v>
      </c>
      <c r="D110" t="s">
        <v>4239</v>
      </c>
      <c r="E110" s="43">
        <v>46126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0"/>
        <v>✓ OK</v>
      </c>
      <c r="N110" s="43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11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2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3"/>
        <v/>
      </c>
    </row>
    <row r="111" spans="1:49" x14ac:dyDescent="0.3">
      <c r="A111">
        <v>107</v>
      </c>
      <c r="B111" t="s">
        <v>4304</v>
      </c>
      <c r="C111" t="s">
        <v>4305</v>
      </c>
      <c r="D111" t="s">
        <v>4239</v>
      </c>
      <c r="E111" s="43">
        <v>46126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0"/>
        <v>✓ OK</v>
      </c>
      <c r="N111" s="43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9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11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2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3"/>
        <v/>
      </c>
    </row>
    <row r="112" spans="1:49" x14ac:dyDescent="0.3">
      <c r="A112">
        <v>108</v>
      </c>
      <c r="B112" t="s">
        <v>4306</v>
      </c>
      <c r="C112" t="s">
        <v>4307</v>
      </c>
      <c r="D112" t="s">
        <v>4239</v>
      </c>
      <c r="E112" s="43">
        <v>46126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0"/>
        <v>✓ OK</v>
      </c>
      <c r="N112" s="43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11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2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3"/>
        <v/>
      </c>
    </row>
    <row r="113" spans="1:49" x14ac:dyDescent="0.3">
      <c r="A113">
        <v>109</v>
      </c>
      <c r="B113" t="s">
        <v>4308</v>
      </c>
      <c r="C113" t="s">
        <v>4309</v>
      </c>
      <c r="D113" t="s">
        <v>4239</v>
      </c>
      <c r="E113" s="43">
        <v>46126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0"/>
        <v>✓ OK</v>
      </c>
      <c r="N113" s="43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9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11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2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3"/>
        <v/>
      </c>
    </row>
    <row r="114" spans="1:49" x14ac:dyDescent="0.3">
      <c r="A114">
        <v>110</v>
      </c>
      <c r="B114" t="s">
        <v>4310</v>
      </c>
      <c r="C114" t="s">
        <v>4311</v>
      </c>
      <c r="D114" t="s">
        <v>4239</v>
      </c>
      <c r="E114" s="43">
        <v>46126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0"/>
        <v>✓ OK</v>
      </c>
      <c r="N114" s="43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9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11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2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3"/>
        <v/>
      </c>
    </row>
    <row r="115" spans="1:49" x14ac:dyDescent="0.3">
      <c r="A115">
        <v>111</v>
      </c>
      <c r="B115" t="s">
        <v>4312</v>
      </c>
      <c r="C115" t="s">
        <v>4313</v>
      </c>
      <c r="D115" t="s">
        <v>4239</v>
      </c>
      <c r="E115" s="43">
        <v>46126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0"/>
        <v>✓ OK</v>
      </c>
      <c r="N115" s="43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9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11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2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3"/>
        <v/>
      </c>
    </row>
    <row r="116" spans="1:49" x14ac:dyDescent="0.3">
      <c r="A116">
        <v>112</v>
      </c>
      <c r="B116" t="s">
        <v>4314</v>
      </c>
      <c r="C116" t="s">
        <v>4315</v>
      </c>
      <c r="D116" t="s">
        <v>4239</v>
      </c>
      <c r="E116" s="43">
        <v>46126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0"/>
        <v>✓ OK</v>
      </c>
      <c r="N116" s="43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11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2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3"/>
        <v/>
      </c>
    </row>
    <row r="117" spans="1:49" x14ac:dyDescent="0.3">
      <c r="A117">
        <v>113</v>
      </c>
      <c r="B117" t="s">
        <v>4316</v>
      </c>
      <c r="C117" t="s">
        <v>4317</v>
      </c>
      <c r="D117" t="s">
        <v>4239</v>
      </c>
      <c r="E117" s="43">
        <v>46126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0"/>
        <v>✓ OK</v>
      </c>
      <c r="N117" s="43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11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2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3"/>
        <v/>
      </c>
    </row>
  </sheetData>
  <autoFilter ref="A4:AW11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5 E6:M117 A6:D77 N5:AW117">
    <cfRule type="expression" dxfId="481" priority="55">
      <formula>MOD(ROW(),2)=0</formula>
    </cfRule>
  </conditionalFormatting>
  <conditionalFormatting sqref="G5:G117">
    <cfRule type="expression" dxfId="480" priority="15">
      <formula>G5="No"</formula>
    </cfRule>
    <cfRule type="expression" dxfId="479" priority="14">
      <formula>G5="Yes"</formula>
    </cfRule>
  </conditionalFormatting>
  <conditionalFormatting sqref="H5:H117">
    <cfRule type="expression" dxfId="478" priority="16">
      <formula>H5="Yes"</formula>
    </cfRule>
  </conditionalFormatting>
  <conditionalFormatting sqref="J5:J117">
    <cfRule type="expression" dxfId="477" priority="17">
      <formula>J5="Yes"</formula>
    </cfRule>
    <cfRule type="expression" dxfId="476" priority="18">
      <formula>J5="No"</formula>
    </cfRule>
  </conditionalFormatting>
  <conditionalFormatting sqref="M5:M117">
    <cfRule type="expression" dxfId="475" priority="11">
      <formula>M5="❌ Disc"</formula>
    </cfRule>
    <cfRule type="expression" dxfId="474" priority="12">
      <formula>M5="⚠ Missing"</formula>
    </cfRule>
    <cfRule type="expression" dxfId="473" priority="13">
      <formula>M5="⚠ Check"</formula>
    </cfRule>
    <cfRule type="expression" dxfId="472" priority="10">
      <formula>M5="✓ OK"</formula>
    </cfRule>
  </conditionalFormatting>
  <conditionalFormatting sqref="Y5:Y117">
    <cfRule type="expression" dxfId="462" priority="33">
      <formula>Y5="No"</formula>
    </cfRule>
    <cfRule type="expression" dxfId="461" priority="32">
      <formula>Y5="Yes"</formula>
    </cfRule>
  </conditionalFormatting>
  <conditionalFormatting sqref="Z5:Z117">
    <cfRule type="expression" dxfId="460" priority="34">
      <formula>Z5="Yes"</formula>
    </cfRule>
  </conditionalFormatting>
  <conditionalFormatting sqref="AB5:AB117">
    <cfRule type="expression" dxfId="459" priority="35">
      <formula>AB5="Yes"</formula>
    </cfRule>
    <cfRule type="expression" dxfId="458" priority="36">
      <formula>AB5="No"</formula>
    </cfRule>
  </conditionalFormatting>
  <conditionalFormatting sqref="AE5:AE117">
    <cfRule type="expression" dxfId="457" priority="29">
      <formula>AE5="❌ Disc"</formula>
    </cfRule>
    <cfRule type="expression" dxfId="456" priority="30">
      <formula>AE5="⚠ Missing"</formula>
    </cfRule>
    <cfRule type="expression" dxfId="455" priority="31">
      <formula>AE5="⚠ Check"</formula>
    </cfRule>
    <cfRule type="expression" dxfId="454" priority="28">
      <formula>AE5="✓ OK"</formula>
    </cfRule>
  </conditionalFormatting>
  <conditionalFormatting sqref="AH5:AH117">
    <cfRule type="expression" dxfId="453" priority="41">
      <formula>AH5="Yes"</formula>
    </cfRule>
    <cfRule type="expression" dxfId="452" priority="42">
      <formula>AH5="No"</formula>
    </cfRule>
  </conditionalFormatting>
  <conditionalFormatting sqref="AI5:AI117">
    <cfRule type="expression" dxfId="451" priority="43">
      <formula>AI5="Yes"</formula>
    </cfRule>
  </conditionalFormatting>
  <conditionalFormatting sqref="AK5:AK117">
    <cfRule type="expression" dxfId="450" priority="44">
      <formula>AK5="Yes"</formula>
    </cfRule>
    <cfRule type="expression" dxfId="449" priority="45">
      <formula>AK5="No"</formula>
    </cfRule>
  </conditionalFormatting>
  <conditionalFormatting sqref="AN5:AN117">
    <cfRule type="expression" dxfId="448" priority="38">
      <formula>AN5="❌ Disc"</formula>
    </cfRule>
    <cfRule type="expression" dxfId="447" priority="39">
      <formula>AN5="⚠ Missing"</formula>
    </cfRule>
    <cfRule type="expression" dxfId="446" priority="40">
      <formula>AN5="⚠ Check"</formula>
    </cfRule>
    <cfRule type="expression" dxfId="445" priority="37">
      <formula>AN5="✓ OK"</formula>
    </cfRule>
  </conditionalFormatting>
  <conditionalFormatting sqref="AQ5:AQ117">
    <cfRule type="expression" dxfId="444" priority="51">
      <formula>AQ5="No"</formula>
    </cfRule>
    <cfRule type="expression" dxfId="443" priority="50">
      <formula>AQ5="Yes"</formula>
    </cfRule>
  </conditionalFormatting>
  <conditionalFormatting sqref="AR5:AR117">
    <cfRule type="expression" dxfId="442" priority="52">
      <formula>AR5="Yes"</formula>
    </cfRule>
  </conditionalFormatting>
  <conditionalFormatting sqref="AT5:AT117">
    <cfRule type="expression" dxfId="441" priority="53">
      <formula>AT5="Yes"</formula>
    </cfRule>
    <cfRule type="expression" dxfId="440" priority="54">
      <formula>AT5="No"</formula>
    </cfRule>
  </conditionalFormatting>
  <conditionalFormatting sqref="AW5:AW117">
    <cfRule type="expression" dxfId="439" priority="46">
      <formula>AW5="✓ OK"</formula>
    </cfRule>
    <cfRule type="expression" dxfId="438" priority="47">
      <formula>AW5="❌ Disc"</formula>
    </cfRule>
    <cfRule type="expression" dxfId="437" priority="48">
      <formula>AW5="⚠ Missing"</formula>
    </cfRule>
    <cfRule type="expression" dxfId="436" priority="49">
      <formula>AW5="⚠ Check"</formula>
    </cfRule>
  </conditionalFormatting>
  <conditionalFormatting sqref="P5:P117">
    <cfRule type="expression" dxfId="72" priority="5">
      <formula>P5="Yes"</formula>
    </cfRule>
    <cfRule type="expression" dxfId="73" priority="6">
      <formula>P5="No"</formula>
    </cfRule>
  </conditionalFormatting>
  <conditionalFormatting sqref="Q5:Q117">
    <cfRule type="expression" dxfId="71" priority="7">
      <formula>Q5="Yes"</formula>
    </cfRule>
  </conditionalFormatting>
  <conditionalFormatting sqref="S5:S117">
    <cfRule type="expression" dxfId="70" priority="8">
      <formula>S5="Yes"</formula>
    </cfRule>
    <cfRule type="expression" dxfId="69" priority="9">
      <formula>S5="No"</formula>
    </cfRule>
  </conditionalFormatting>
  <conditionalFormatting sqref="V5:V117">
    <cfRule type="expression" dxfId="65" priority="1">
      <formula>V5="✓ OK"</formula>
    </cfRule>
    <cfRule type="expression" dxfId="68" priority="2">
      <formula>V5="❌ Disc"</formula>
    </cfRule>
    <cfRule type="expression" dxfId="67" priority="3">
      <formula>V5="⚠ Missing"</formula>
    </cfRule>
    <cfRule type="expression" dxfId="66" priority="4">
      <formula>V5="⚠ Check"</formula>
    </cfRule>
  </conditionalFormatting>
  <dataValidations count="2">
    <dataValidation type="list" allowBlank="1" sqref="AQ5:AR117 AK5:AK117 AH5:AI117 AB5:AB117 Y5:Z117 AT5:AT117 J5:J117 G5:H117 P5:Q117 S5:S117" xr:uid="{00000000-0002-0000-0600-000000000000}">
      <formula1>"Yes,No"</formula1>
    </dataValidation>
    <dataValidation type="list" allowBlank="1" sqref="AS5:AS117 AJ5:AJ117 AA5:AA117 I5:I117 R5:R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4318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4319</v>
      </c>
      <c r="C5" s="41" t="s">
        <v>4320</v>
      </c>
      <c r="D5" s="39" t="s">
        <v>4321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149</v>
      </c>
      <c r="J5" s="26" t="s">
        <v>57</v>
      </c>
      <c r="K5" s="27" t="s">
        <v>158</v>
      </c>
      <c r="L5" s="28" t="s">
        <v>56</v>
      </c>
      <c r="M5" s="29" t="str">
        <f t="shared" ref="M5:M15" si="0">IF(E5="","",IF(H5="Yes","❌ Disc",IF(G5="No","⚠ Missing",IF(J5="Yes","✓ OK","⚠ Check"))))</f>
        <v>⚠ Check</v>
      </c>
      <c r="N5" s="43">
        <v>46196</v>
      </c>
      <c r="O5" s="26" t="s">
        <v>55</v>
      </c>
      <c r="P5" s="26" t="s">
        <v>56</v>
      </c>
      <c r="Q5" s="26" t="s">
        <v>57</v>
      </c>
      <c r="R5" s="26" t="s">
        <v>149</v>
      </c>
      <c r="S5" s="26" t="s">
        <v>57</v>
      </c>
      <c r="T5" s="27" t="s">
        <v>158</v>
      </c>
      <c r="U5" s="28" t="s">
        <v>56</v>
      </c>
      <c r="V5" s="29" t="str">
        <f t="shared" ref="V5:V16" si="1">IF(N5="","",IF(Q5="Yes","❌ Disc",IF(P5="No","⚠ Missing",IF(S5="Yes","✓ OK","⚠ Check"))))</f>
        <v>⚠ Check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15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4322</v>
      </c>
      <c r="C6" s="25" t="s">
        <v>4323</v>
      </c>
      <c r="D6" s="23" t="s">
        <v>4321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4324</v>
      </c>
      <c r="C7" s="41" t="s">
        <v>4325</v>
      </c>
      <c r="D7" s="39" t="s">
        <v>4321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4326</v>
      </c>
      <c r="C8" s="41" t="s">
        <v>4327</v>
      </c>
      <c r="D8" s="39" t="s">
        <v>4321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4328</v>
      </c>
      <c r="C9" s="25" t="s">
        <v>4329</v>
      </c>
      <c r="D9" s="23" t="s">
        <v>4321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24" t="s">
        <v>4330</v>
      </c>
      <c r="C10" s="25" t="s">
        <v>4331</v>
      </c>
      <c r="D10" s="23" t="s">
        <v>4321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4332</v>
      </c>
      <c r="C11" s="41" t="s">
        <v>4333</v>
      </c>
      <c r="D11" s="39" t="s">
        <v>4321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4334</v>
      </c>
      <c r="C12" s="25" t="s">
        <v>4335</v>
      </c>
      <c r="D12" s="23" t="s">
        <v>4321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4336</v>
      </c>
      <c r="C13" s="41" t="s">
        <v>4337</v>
      </c>
      <c r="D13" s="39" t="s">
        <v>4321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4338</v>
      </c>
      <c r="C14" s="41" t="s">
        <v>4339</v>
      </c>
      <c r="D14" s="39" t="s">
        <v>4321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4340</v>
      </c>
      <c r="C15" s="25" t="s">
        <v>4341</v>
      </c>
      <c r="D15" s="23" t="s">
        <v>4321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149</v>
      </c>
      <c r="J15" s="26" t="s">
        <v>57</v>
      </c>
      <c r="K15" s="27" t="s">
        <v>158</v>
      </c>
      <c r="L15" s="28" t="s">
        <v>56</v>
      </c>
      <c r="M15" s="29" t="str">
        <f t="shared" si="0"/>
        <v>⚠ Check</v>
      </c>
      <c r="N15" s="43">
        <v>46196</v>
      </c>
      <c r="O15" s="26" t="s">
        <v>55</v>
      </c>
      <c r="P15" s="26" t="s">
        <v>56</v>
      </c>
      <c r="Q15" s="26" t="s">
        <v>57</v>
      </c>
      <c r="R15" s="26" t="s">
        <v>149</v>
      </c>
      <c r="S15" s="26" t="s">
        <v>57</v>
      </c>
      <c r="T15" s="27" t="s">
        <v>158</v>
      </c>
      <c r="U15" s="28" t="s">
        <v>56</v>
      </c>
      <c r="V15" s="29" t="str">
        <f t="shared" si="1"/>
        <v>⚠ Check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x14ac:dyDescent="0.3">
      <c r="A16" s="42">
        <v>12</v>
      </c>
      <c r="B16" s="24" t="s">
        <v>4342</v>
      </c>
      <c r="C16" s="25" t="s">
        <v>4343</v>
      </c>
      <c r="D16" s="23" t="s">
        <v>4321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ref="M16" si="5">IF(E16="","",IF(H16="Yes","❌ Disc",IF(G16="No","⚠ Missing",IF(J16="Yes","✓ OK","⚠ Check"))))</f>
        <v>✓ OK</v>
      </c>
      <c r="N16" s="4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ref="AE16" si="6">IF(W16="","",IF(Z16="Yes","❌ Disc",IF(Y16="No","⚠ Missing",IF(AB16="Yes","✓ OK","⚠ Check"))))</f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ref="AN16" si="7"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ref="AW16" si="8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16 O5:AW16">
    <cfRule type="expression" dxfId="435" priority="56">
      <formula>MOD(ROW(),2)=0</formula>
    </cfRule>
  </conditionalFormatting>
  <conditionalFormatting sqref="G5:G16">
    <cfRule type="expression" dxfId="434" priority="16">
      <formula>G5="No"</formula>
    </cfRule>
    <cfRule type="expression" dxfId="433" priority="15">
      <formula>G5="Yes"</formula>
    </cfRule>
  </conditionalFormatting>
  <conditionalFormatting sqref="H5:H16">
    <cfRule type="expression" dxfId="432" priority="17">
      <formula>H5="Yes"</formula>
    </cfRule>
  </conditionalFormatting>
  <conditionalFormatting sqref="J5:J16">
    <cfRule type="expression" dxfId="431" priority="18">
      <formula>J5="Yes"</formula>
    </cfRule>
    <cfRule type="expression" dxfId="430" priority="19">
      <formula>J5="No"</formula>
    </cfRule>
  </conditionalFormatting>
  <conditionalFormatting sqref="M5:M16">
    <cfRule type="expression" dxfId="429" priority="12">
      <formula>M5="❌ Disc"</formula>
    </cfRule>
    <cfRule type="expression" dxfId="428" priority="13">
      <formula>M5="⚠ Missing"</formula>
    </cfRule>
    <cfRule type="expression" dxfId="427" priority="14">
      <formula>M5="⚠ Check"</formula>
    </cfRule>
    <cfRule type="expression" dxfId="426" priority="11">
      <formula>M5="✓ OK"</formula>
    </cfRule>
  </conditionalFormatting>
  <conditionalFormatting sqref="P5:P16">
    <cfRule type="expression" dxfId="425" priority="24">
      <formula>P5="Yes"</formula>
    </cfRule>
    <cfRule type="expression" dxfId="424" priority="25">
      <formula>P5="No"</formula>
    </cfRule>
  </conditionalFormatting>
  <conditionalFormatting sqref="Q5:Q16">
    <cfRule type="expression" dxfId="423" priority="26">
      <formula>Q5="Yes"</formula>
    </cfRule>
  </conditionalFormatting>
  <conditionalFormatting sqref="S5:S16">
    <cfRule type="expression" dxfId="422" priority="27">
      <formula>S5="Yes"</formula>
    </cfRule>
    <cfRule type="expression" dxfId="421" priority="28">
      <formula>S5="No"</formula>
    </cfRule>
  </conditionalFormatting>
  <conditionalFormatting sqref="V5:V16">
    <cfRule type="expression" dxfId="420" priority="20">
      <formula>V5="✓ OK"</formula>
    </cfRule>
    <cfRule type="expression" dxfId="419" priority="21">
      <formula>V5="❌ Disc"</formula>
    </cfRule>
    <cfRule type="expression" dxfId="418" priority="22">
      <formula>V5="⚠ Missing"</formula>
    </cfRule>
    <cfRule type="expression" dxfId="417" priority="23">
      <formula>V5="⚠ Check"</formula>
    </cfRule>
  </conditionalFormatting>
  <conditionalFormatting sqref="Y5:Y16">
    <cfRule type="expression" dxfId="416" priority="34">
      <formula>Y5="No"</formula>
    </cfRule>
    <cfRule type="expression" dxfId="415" priority="33">
      <formula>Y5="Yes"</formula>
    </cfRule>
  </conditionalFormatting>
  <conditionalFormatting sqref="Z5:Z16">
    <cfRule type="expression" dxfId="414" priority="35">
      <formula>Z5="Yes"</formula>
    </cfRule>
  </conditionalFormatting>
  <conditionalFormatting sqref="AB5:AB16">
    <cfRule type="expression" dxfId="413" priority="36">
      <formula>AB5="Yes"</formula>
    </cfRule>
    <cfRule type="expression" dxfId="412" priority="37">
      <formula>AB5="No"</formula>
    </cfRule>
  </conditionalFormatting>
  <conditionalFormatting sqref="AE5:AE16">
    <cfRule type="expression" dxfId="411" priority="30">
      <formula>AE5="❌ Disc"</formula>
    </cfRule>
    <cfRule type="expression" dxfId="410" priority="31">
      <formula>AE5="⚠ Missing"</formula>
    </cfRule>
    <cfRule type="expression" dxfId="409" priority="32">
      <formula>AE5="⚠ Check"</formula>
    </cfRule>
    <cfRule type="expression" dxfId="408" priority="29">
      <formula>AE5="✓ OK"</formula>
    </cfRule>
  </conditionalFormatting>
  <conditionalFormatting sqref="AH5:AH16">
    <cfRule type="expression" dxfId="407" priority="42">
      <formula>AH5="Yes"</formula>
    </cfRule>
    <cfRule type="expression" dxfId="406" priority="43">
      <formula>AH5="No"</formula>
    </cfRule>
  </conditionalFormatting>
  <conditionalFormatting sqref="AI5:AI16">
    <cfRule type="expression" dxfId="405" priority="44">
      <formula>AI5="Yes"</formula>
    </cfRule>
  </conditionalFormatting>
  <conditionalFormatting sqref="AK5:AK16">
    <cfRule type="expression" dxfId="404" priority="45">
      <formula>AK5="Yes"</formula>
    </cfRule>
    <cfRule type="expression" dxfId="403" priority="46">
      <formula>AK5="No"</formula>
    </cfRule>
  </conditionalFormatting>
  <conditionalFormatting sqref="AN5:AN16">
    <cfRule type="expression" dxfId="402" priority="39">
      <formula>AN5="❌ Disc"</formula>
    </cfRule>
    <cfRule type="expression" dxfId="401" priority="40">
      <formula>AN5="⚠ Missing"</formula>
    </cfRule>
    <cfRule type="expression" dxfId="400" priority="41">
      <formula>AN5="⚠ Check"</formula>
    </cfRule>
    <cfRule type="expression" dxfId="399" priority="38">
      <formula>AN5="✓ OK"</formula>
    </cfRule>
  </conditionalFormatting>
  <conditionalFormatting sqref="AQ5:AQ16">
    <cfRule type="expression" dxfId="398" priority="52">
      <formula>AQ5="No"</formula>
    </cfRule>
    <cfRule type="expression" dxfId="397" priority="51">
      <formula>AQ5="Yes"</formula>
    </cfRule>
  </conditionalFormatting>
  <conditionalFormatting sqref="AR5:AR16">
    <cfRule type="expression" dxfId="396" priority="53">
      <formula>AR5="Yes"</formula>
    </cfRule>
  </conditionalFormatting>
  <conditionalFormatting sqref="AT5:AT16">
    <cfRule type="expression" dxfId="395" priority="54">
      <formula>AT5="Yes"</formula>
    </cfRule>
    <cfRule type="expression" dxfId="394" priority="55">
      <formula>AT5="No"</formula>
    </cfRule>
  </conditionalFormatting>
  <conditionalFormatting sqref="AW5:AW16">
    <cfRule type="expression" dxfId="393" priority="47">
      <formula>AW5="✓ OK"</formula>
    </cfRule>
    <cfRule type="expression" dxfId="392" priority="48">
      <formula>AW5="❌ Disc"</formula>
    </cfRule>
    <cfRule type="expression" dxfId="391" priority="49">
      <formula>AW5="⚠ Missing"</formula>
    </cfRule>
    <cfRule type="expression" dxfId="390" priority="50">
      <formula>AW5="⚠ Check"</formula>
    </cfRule>
  </conditionalFormatting>
  <conditionalFormatting sqref="P5:P16">
    <cfRule type="expression" dxfId="63" priority="6">
      <formula>P5="Yes"</formula>
    </cfRule>
    <cfRule type="expression" dxfId="64" priority="7">
      <formula>P5="No"</formula>
    </cfRule>
  </conditionalFormatting>
  <conditionalFormatting sqref="Q5:Q16">
    <cfRule type="expression" dxfId="62" priority="8">
      <formula>Q5="Yes"</formula>
    </cfRule>
  </conditionalFormatting>
  <conditionalFormatting sqref="S5:S16">
    <cfRule type="expression" dxfId="61" priority="9">
      <formula>S5="Yes"</formula>
    </cfRule>
    <cfRule type="expression" dxfId="60" priority="10">
      <formula>S5="No"</formula>
    </cfRule>
  </conditionalFormatting>
  <conditionalFormatting sqref="V5:V16">
    <cfRule type="expression" dxfId="56" priority="2">
      <formula>V5="✓ OK"</formula>
    </cfRule>
    <cfRule type="expression" dxfId="59" priority="3">
      <formula>V5="❌ Disc"</formula>
    </cfRule>
    <cfRule type="expression" dxfId="58" priority="4">
      <formula>V5="⚠ Missing"</formula>
    </cfRule>
    <cfRule type="expression" dxfId="57" priority="5">
      <formula>V5="⚠ Check"</formula>
    </cfRule>
  </conditionalFormatting>
  <conditionalFormatting sqref="N5:N16">
    <cfRule type="expression" dxfId="55" priority="1">
      <formula>MOD(ROW(),2)=0</formula>
    </cfRule>
  </conditionalFormatting>
  <dataValidations count="2">
    <dataValidation type="list" allowBlank="1" sqref="AT5:AT16 AQ5:AR16 AK5:AK16 AH5:AI16 AB5:AB16 Y5:Z16 G5:H16 J5:J16 P5:Q16 S5:S16" xr:uid="{00000000-0002-0000-0700-000000000000}">
      <formula1>"Yes,No"</formula1>
    </dataValidation>
    <dataValidation type="list" allowBlank="1" sqref="I5:I16 AS5:AS16 AJ5:AJ16 AA5:AA16 R5:R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4344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4345</v>
      </c>
      <c r="C5" s="25" t="s">
        <v>4346</v>
      </c>
      <c r="D5" s="23" t="s">
        <v>4347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4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2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4348</v>
      </c>
      <c r="C6" s="41" t="s">
        <v>4349</v>
      </c>
      <c r="D6" s="39" t="s">
        <v>4347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4350</v>
      </c>
      <c r="C7" s="25" t="s">
        <v>4351</v>
      </c>
      <c r="D7" s="23" t="s">
        <v>4347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4352</v>
      </c>
      <c r="C8" s="41" t="s">
        <v>4353</v>
      </c>
      <c r="D8" s="39" t="s">
        <v>4347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4354</v>
      </c>
      <c r="C9" s="25" t="s">
        <v>4355</v>
      </c>
      <c r="D9" s="23" t="s">
        <v>4347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4356</v>
      </c>
      <c r="C10" s="41" t="s">
        <v>4357</v>
      </c>
      <c r="D10" s="39" t="s">
        <v>4347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4358</v>
      </c>
      <c r="C11" s="25" t="s">
        <v>4359</v>
      </c>
      <c r="D11" s="23" t="s">
        <v>4347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4360</v>
      </c>
      <c r="C12" s="41" t="s">
        <v>4361</v>
      </c>
      <c r="D12" s="39" t="s">
        <v>4347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4362</v>
      </c>
      <c r="C13" s="25" t="s">
        <v>4363</v>
      </c>
      <c r="D13" s="23" t="s">
        <v>4347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4364</v>
      </c>
      <c r="C14" s="41" t="s">
        <v>4365</v>
      </c>
      <c r="D14" s="39" t="s">
        <v>4347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4366</v>
      </c>
      <c r="C15" s="25" t="s">
        <v>4367</v>
      </c>
      <c r="D15" s="23" t="s">
        <v>4347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4368</v>
      </c>
      <c r="C16" s="41" t="s">
        <v>4369</v>
      </c>
      <c r="D16" s="39" t="s">
        <v>4347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4370</v>
      </c>
      <c r="C17" s="25" t="s">
        <v>4371</v>
      </c>
      <c r="D17" s="23" t="s">
        <v>4347</v>
      </c>
      <c r="E17" s="43">
        <v>46125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4372</v>
      </c>
      <c r="C18" s="41" t="s">
        <v>4373</v>
      </c>
      <c r="D18" s="39" t="s">
        <v>4347</v>
      </c>
      <c r="E18" s="43">
        <v>46125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4374</v>
      </c>
      <c r="C19" s="25" t="s">
        <v>4375</v>
      </c>
      <c r="D19" s="23" t="s">
        <v>4347</v>
      </c>
      <c r="E19" s="43">
        <v>46125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4376</v>
      </c>
      <c r="C20" s="41" t="s">
        <v>4377</v>
      </c>
      <c r="D20" s="39" t="s">
        <v>4347</v>
      </c>
      <c r="E20" s="43">
        <v>46125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4378</v>
      </c>
      <c r="C21" s="25" t="s">
        <v>4379</v>
      </c>
      <c r="D21" s="23" t="s">
        <v>4347</v>
      </c>
      <c r="E21" s="43">
        <v>46125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4380</v>
      </c>
      <c r="C22" s="41" t="s">
        <v>4381</v>
      </c>
      <c r="D22" s="39" t="s">
        <v>4382</v>
      </c>
      <c r="E22" s="43">
        <v>46125</v>
      </c>
      <c r="F22" s="26" t="s">
        <v>55</v>
      </c>
      <c r="G22" s="26" t="s">
        <v>57</v>
      </c>
      <c r="H22" s="26" t="s">
        <v>57</v>
      </c>
      <c r="I22" s="26" t="s">
        <v>153</v>
      </c>
      <c r="J22" s="26" t="s">
        <v>57</v>
      </c>
      <c r="K22" s="27"/>
      <c r="L22" s="28" t="s">
        <v>56</v>
      </c>
      <c r="M22" s="29" t="str">
        <f t="shared" si="0"/>
        <v>⚠ Missing</v>
      </c>
      <c r="N22" s="43">
        <v>46196</v>
      </c>
      <c r="O22" s="26" t="s">
        <v>55</v>
      </c>
      <c r="P22" s="26" t="s">
        <v>57</v>
      </c>
      <c r="Q22" s="26" t="s">
        <v>57</v>
      </c>
      <c r="R22" s="26" t="s">
        <v>153</v>
      </c>
      <c r="S22" s="26" t="s">
        <v>57</v>
      </c>
      <c r="T22" s="27"/>
      <c r="U22" s="28" t="s">
        <v>56</v>
      </c>
      <c r="V22" s="29" t="str">
        <f t="shared" si="1"/>
        <v>⚠ Missing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4383</v>
      </c>
      <c r="C23" s="25" t="s">
        <v>4384</v>
      </c>
      <c r="D23" s="23" t="s">
        <v>4382</v>
      </c>
      <c r="E23" s="43">
        <v>46125</v>
      </c>
      <c r="F23" s="26" t="s">
        <v>55</v>
      </c>
      <c r="G23" s="26" t="s">
        <v>57</v>
      </c>
      <c r="H23" s="26" t="s">
        <v>57</v>
      </c>
      <c r="I23" s="26" t="s">
        <v>153</v>
      </c>
      <c r="J23" s="26" t="s">
        <v>57</v>
      </c>
      <c r="K23" s="27"/>
      <c r="L23" s="28" t="s">
        <v>56</v>
      </c>
      <c r="M23" s="29" t="str">
        <f t="shared" si="0"/>
        <v>⚠ Missing</v>
      </c>
      <c r="N23" s="43">
        <v>46196</v>
      </c>
      <c r="O23" s="26" t="s">
        <v>55</v>
      </c>
      <c r="P23" s="26" t="s">
        <v>57</v>
      </c>
      <c r="Q23" s="26" t="s">
        <v>57</v>
      </c>
      <c r="R23" s="26" t="s">
        <v>153</v>
      </c>
      <c r="S23" s="26" t="s">
        <v>57</v>
      </c>
      <c r="T23" s="27"/>
      <c r="U23" s="28" t="s">
        <v>56</v>
      </c>
      <c r="V23" s="29" t="str">
        <f t="shared" si="1"/>
        <v>⚠ Missing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4385</v>
      </c>
      <c r="C24" s="41" t="s">
        <v>4386</v>
      </c>
      <c r="D24" s="39" t="s">
        <v>4382</v>
      </c>
      <c r="E24" s="43">
        <v>46125</v>
      </c>
      <c r="F24" s="26" t="s">
        <v>55</v>
      </c>
      <c r="G24" s="26" t="s">
        <v>57</v>
      </c>
      <c r="H24" s="26" t="s">
        <v>57</v>
      </c>
      <c r="I24" s="26" t="s">
        <v>153</v>
      </c>
      <c r="J24" s="26" t="s">
        <v>57</v>
      </c>
      <c r="K24" s="27"/>
      <c r="L24" s="28" t="s">
        <v>56</v>
      </c>
      <c r="M24" s="29" t="str">
        <f t="shared" si="0"/>
        <v>⚠ Missing</v>
      </c>
      <c r="N24" s="43">
        <v>46196</v>
      </c>
      <c r="O24" s="26" t="s">
        <v>55</v>
      </c>
      <c r="P24" s="26" t="s">
        <v>57</v>
      </c>
      <c r="Q24" s="26" t="s">
        <v>57</v>
      </c>
      <c r="R24" s="26" t="s">
        <v>153</v>
      </c>
      <c r="S24" s="26" t="s">
        <v>57</v>
      </c>
      <c r="T24" s="27"/>
      <c r="U24" s="28" t="s">
        <v>56</v>
      </c>
      <c r="V24" s="29" t="str">
        <f t="shared" si="1"/>
        <v>⚠ Missing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4387</v>
      </c>
      <c r="C25" s="25" t="s">
        <v>4388</v>
      </c>
      <c r="D25" s="23" t="s">
        <v>4382</v>
      </c>
      <c r="E25" s="43">
        <v>46125</v>
      </c>
      <c r="F25" s="26" t="s">
        <v>55</v>
      </c>
      <c r="G25" s="26" t="s">
        <v>57</v>
      </c>
      <c r="H25" s="26" t="s">
        <v>57</v>
      </c>
      <c r="I25" s="26" t="s">
        <v>153</v>
      </c>
      <c r="J25" s="26" t="s">
        <v>57</v>
      </c>
      <c r="K25" s="27"/>
      <c r="L25" s="28" t="s">
        <v>56</v>
      </c>
      <c r="M25" s="29" t="str">
        <f t="shared" si="0"/>
        <v>⚠ Missing</v>
      </c>
      <c r="N25" s="43">
        <v>46196</v>
      </c>
      <c r="O25" s="26" t="s">
        <v>55</v>
      </c>
      <c r="P25" s="26" t="s">
        <v>57</v>
      </c>
      <c r="Q25" s="26" t="s">
        <v>57</v>
      </c>
      <c r="R25" s="26" t="s">
        <v>153</v>
      </c>
      <c r="S25" s="26" t="s">
        <v>57</v>
      </c>
      <c r="T25" s="27"/>
      <c r="U25" s="28" t="s">
        <v>56</v>
      </c>
      <c r="V25" s="29" t="str">
        <f t="shared" si="1"/>
        <v>⚠ Missing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4389</v>
      </c>
      <c r="C26" s="41" t="s">
        <v>4390</v>
      </c>
      <c r="D26" s="39" t="s">
        <v>4382</v>
      </c>
      <c r="E26" s="43">
        <v>46125</v>
      </c>
      <c r="F26" s="26" t="s">
        <v>55</v>
      </c>
      <c r="G26" s="26" t="s">
        <v>57</v>
      </c>
      <c r="H26" s="26" t="s">
        <v>57</v>
      </c>
      <c r="I26" s="26" t="s">
        <v>153</v>
      </c>
      <c r="J26" s="26" t="s">
        <v>57</v>
      </c>
      <c r="K26" s="27"/>
      <c r="L26" s="28" t="s">
        <v>56</v>
      </c>
      <c r="M26" s="29" t="str">
        <f t="shared" si="0"/>
        <v>⚠ Missing</v>
      </c>
      <c r="N26" s="43">
        <v>46196</v>
      </c>
      <c r="O26" s="26" t="s">
        <v>55</v>
      </c>
      <c r="P26" s="26" t="s">
        <v>57</v>
      </c>
      <c r="Q26" s="26" t="s">
        <v>57</v>
      </c>
      <c r="R26" s="26" t="s">
        <v>153</v>
      </c>
      <c r="S26" s="26" t="s">
        <v>57</v>
      </c>
      <c r="T26" s="27"/>
      <c r="U26" s="28" t="s">
        <v>56</v>
      </c>
      <c r="V26" s="29" t="str">
        <f t="shared" si="1"/>
        <v>⚠ Missing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26 O5:AW26">
    <cfRule type="expression" dxfId="389" priority="56">
      <formula>MOD(ROW(),2)=0</formula>
    </cfRule>
  </conditionalFormatting>
  <conditionalFormatting sqref="G5:G26">
    <cfRule type="expression" dxfId="388" priority="16">
      <formula>G5="No"</formula>
    </cfRule>
    <cfRule type="expression" dxfId="387" priority="15">
      <formula>G5="Yes"</formula>
    </cfRule>
  </conditionalFormatting>
  <conditionalFormatting sqref="H5:H26">
    <cfRule type="expression" dxfId="386" priority="17">
      <formula>H5="Yes"</formula>
    </cfRule>
  </conditionalFormatting>
  <conditionalFormatting sqref="J5:J26">
    <cfRule type="expression" dxfId="385" priority="18">
      <formula>J5="Yes"</formula>
    </cfRule>
    <cfRule type="expression" dxfId="384" priority="19">
      <formula>J5="No"</formula>
    </cfRule>
  </conditionalFormatting>
  <conditionalFormatting sqref="M5:M26">
    <cfRule type="expression" dxfId="383" priority="12">
      <formula>M5="❌ Disc"</formula>
    </cfRule>
    <cfRule type="expression" dxfId="382" priority="13">
      <formula>M5="⚠ Missing"</formula>
    </cfRule>
    <cfRule type="expression" dxfId="381" priority="14">
      <formula>M5="⚠ Check"</formula>
    </cfRule>
    <cfRule type="expression" dxfId="380" priority="11">
      <formula>M5="✓ OK"</formula>
    </cfRule>
  </conditionalFormatting>
  <conditionalFormatting sqref="P5:P26">
    <cfRule type="expression" dxfId="379" priority="24">
      <formula>P5="Yes"</formula>
    </cfRule>
    <cfRule type="expression" dxfId="378" priority="25">
      <formula>P5="No"</formula>
    </cfRule>
  </conditionalFormatting>
  <conditionalFormatting sqref="Q5:Q26">
    <cfRule type="expression" dxfId="377" priority="26">
      <formula>Q5="Yes"</formula>
    </cfRule>
  </conditionalFormatting>
  <conditionalFormatting sqref="S5:S26">
    <cfRule type="expression" dxfId="376" priority="27">
      <formula>S5="Yes"</formula>
    </cfRule>
    <cfRule type="expression" dxfId="375" priority="28">
      <formula>S5="No"</formula>
    </cfRule>
  </conditionalFormatting>
  <conditionalFormatting sqref="V5:V26">
    <cfRule type="expression" dxfId="374" priority="20">
      <formula>V5="✓ OK"</formula>
    </cfRule>
    <cfRule type="expression" dxfId="373" priority="21">
      <formula>V5="❌ Disc"</formula>
    </cfRule>
    <cfRule type="expression" dxfId="372" priority="22">
      <formula>V5="⚠ Missing"</formula>
    </cfRule>
    <cfRule type="expression" dxfId="371" priority="23">
      <formula>V5="⚠ Check"</formula>
    </cfRule>
  </conditionalFormatting>
  <conditionalFormatting sqref="Y5:Y26">
    <cfRule type="expression" dxfId="370" priority="34">
      <formula>Y5="No"</formula>
    </cfRule>
    <cfRule type="expression" dxfId="369" priority="33">
      <formula>Y5="Yes"</formula>
    </cfRule>
  </conditionalFormatting>
  <conditionalFormatting sqref="Z5:Z26">
    <cfRule type="expression" dxfId="368" priority="35">
      <formula>Z5="Yes"</formula>
    </cfRule>
  </conditionalFormatting>
  <conditionalFormatting sqref="AB5:AB26">
    <cfRule type="expression" dxfId="367" priority="36">
      <formula>AB5="Yes"</formula>
    </cfRule>
    <cfRule type="expression" dxfId="366" priority="37">
      <formula>AB5="No"</formula>
    </cfRule>
  </conditionalFormatting>
  <conditionalFormatting sqref="AE5:AE26">
    <cfRule type="expression" dxfId="365" priority="30">
      <formula>AE5="❌ Disc"</formula>
    </cfRule>
    <cfRule type="expression" dxfId="364" priority="31">
      <formula>AE5="⚠ Missing"</formula>
    </cfRule>
    <cfRule type="expression" dxfId="363" priority="32">
      <formula>AE5="⚠ Check"</formula>
    </cfRule>
    <cfRule type="expression" dxfId="362" priority="29">
      <formula>AE5="✓ OK"</formula>
    </cfRule>
  </conditionalFormatting>
  <conditionalFormatting sqref="AH5:AH26">
    <cfRule type="expression" dxfId="361" priority="42">
      <formula>AH5="Yes"</formula>
    </cfRule>
    <cfRule type="expression" dxfId="360" priority="43">
      <formula>AH5="No"</formula>
    </cfRule>
  </conditionalFormatting>
  <conditionalFormatting sqref="AI5:AI26">
    <cfRule type="expression" dxfId="359" priority="44">
      <formula>AI5="Yes"</formula>
    </cfRule>
  </conditionalFormatting>
  <conditionalFormatting sqref="AK5:AK26">
    <cfRule type="expression" dxfId="358" priority="45">
      <formula>AK5="Yes"</formula>
    </cfRule>
    <cfRule type="expression" dxfId="357" priority="46">
      <formula>AK5="No"</formula>
    </cfRule>
  </conditionalFormatting>
  <conditionalFormatting sqref="AN5:AN26">
    <cfRule type="expression" dxfId="356" priority="39">
      <formula>AN5="❌ Disc"</formula>
    </cfRule>
    <cfRule type="expression" dxfId="355" priority="40">
      <formula>AN5="⚠ Missing"</formula>
    </cfRule>
    <cfRule type="expression" dxfId="354" priority="41">
      <formula>AN5="⚠ Check"</formula>
    </cfRule>
    <cfRule type="expression" dxfId="353" priority="38">
      <formula>AN5="✓ OK"</formula>
    </cfRule>
  </conditionalFormatting>
  <conditionalFormatting sqref="AQ5:AQ26">
    <cfRule type="expression" dxfId="352" priority="52">
      <formula>AQ5="No"</formula>
    </cfRule>
    <cfRule type="expression" dxfId="351" priority="51">
      <formula>AQ5="Yes"</formula>
    </cfRule>
  </conditionalFormatting>
  <conditionalFormatting sqref="AR5:AR26">
    <cfRule type="expression" dxfId="350" priority="53">
      <formula>AR5="Yes"</formula>
    </cfRule>
  </conditionalFormatting>
  <conditionalFormatting sqref="AT5:AT26">
    <cfRule type="expression" dxfId="349" priority="54">
      <formula>AT5="Yes"</formula>
    </cfRule>
    <cfRule type="expression" dxfId="348" priority="55">
      <formula>AT5="No"</formula>
    </cfRule>
  </conditionalFormatting>
  <conditionalFormatting sqref="AW5:AW26">
    <cfRule type="expression" dxfId="347" priority="47">
      <formula>AW5="✓ OK"</formula>
    </cfRule>
    <cfRule type="expression" dxfId="346" priority="48">
      <formula>AW5="❌ Disc"</formula>
    </cfRule>
    <cfRule type="expression" dxfId="345" priority="49">
      <formula>AW5="⚠ Missing"</formula>
    </cfRule>
    <cfRule type="expression" dxfId="344" priority="50">
      <formula>AW5="⚠ Check"</formula>
    </cfRule>
  </conditionalFormatting>
  <conditionalFormatting sqref="P5:P26">
    <cfRule type="expression" dxfId="53" priority="6">
      <formula>P5="Yes"</formula>
    </cfRule>
    <cfRule type="expression" dxfId="54" priority="7">
      <formula>P5="No"</formula>
    </cfRule>
  </conditionalFormatting>
  <conditionalFormatting sqref="Q5:Q26">
    <cfRule type="expression" dxfId="52" priority="8">
      <formula>Q5="Yes"</formula>
    </cfRule>
  </conditionalFormatting>
  <conditionalFormatting sqref="S5:S26">
    <cfRule type="expression" dxfId="51" priority="9">
      <formula>S5="Yes"</formula>
    </cfRule>
    <cfRule type="expression" dxfId="50" priority="10">
      <formula>S5="No"</formula>
    </cfRule>
  </conditionalFormatting>
  <conditionalFormatting sqref="V5:V26">
    <cfRule type="expression" dxfId="46" priority="2">
      <formula>V5="✓ OK"</formula>
    </cfRule>
    <cfRule type="expression" dxfId="49" priority="3">
      <formula>V5="❌ Disc"</formula>
    </cfRule>
    <cfRule type="expression" dxfId="48" priority="4">
      <formula>V5="⚠ Missing"</formula>
    </cfRule>
    <cfRule type="expression" dxfId="47" priority="5">
      <formula>V5="⚠ Check"</formula>
    </cfRule>
  </conditionalFormatting>
  <conditionalFormatting sqref="N5:N26">
    <cfRule type="expression" dxfId="45" priority="1">
      <formula>MOD(ROW(),2)=0</formula>
    </cfRule>
  </conditionalFormatting>
  <dataValidations count="2">
    <dataValidation type="list" allowBlank="1" sqref="AT5:AT26 AQ5:AR26 AK5:AK26 AH5:AI26 AB5:AB26 Y5:Z26 G5:H26 J5:J26 P5:Q26 S5:S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L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4391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4392</v>
      </c>
      <c r="C5" s="25" t="s">
        <v>4393</v>
      </c>
      <c r="D5" s="23" t="s">
        <v>937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4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9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4394</v>
      </c>
      <c r="C6" s="41" t="s">
        <v>4395</v>
      </c>
      <c r="D6" s="39" t="s">
        <v>937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4396</v>
      </c>
      <c r="C7" s="25" t="s">
        <v>4397</v>
      </c>
      <c r="D7" s="23" t="s">
        <v>937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4398</v>
      </c>
      <c r="C8" s="41" t="s">
        <v>4399</v>
      </c>
      <c r="D8" s="39" t="s">
        <v>937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4400</v>
      </c>
      <c r="C9" s="25" t="s">
        <v>4401</v>
      </c>
      <c r="D9" s="23" t="s">
        <v>937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4402</v>
      </c>
      <c r="C10" s="41" t="s">
        <v>4403</v>
      </c>
      <c r="D10" s="39" t="s">
        <v>937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4404</v>
      </c>
      <c r="C11" s="25" t="s">
        <v>4405</v>
      </c>
      <c r="D11" s="23" t="s">
        <v>937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4406</v>
      </c>
      <c r="C12" s="41" t="s">
        <v>4407</v>
      </c>
      <c r="D12" s="39" t="s">
        <v>937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4408</v>
      </c>
      <c r="C13" s="25" t="s">
        <v>4409</v>
      </c>
      <c r="D13" s="23" t="s">
        <v>4321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4410</v>
      </c>
      <c r="C14" s="41" t="s">
        <v>4411</v>
      </c>
      <c r="D14" s="39" t="s">
        <v>4321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4412</v>
      </c>
      <c r="C15" s="25" t="s">
        <v>4413</v>
      </c>
      <c r="D15" s="23" t="s">
        <v>4321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4414</v>
      </c>
      <c r="C16" s="41" t="s">
        <v>4415</v>
      </c>
      <c r="D16" s="39" t="s">
        <v>4321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4416</v>
      </c>
      <c r="C17" s="25" t="s">
        <v>4417</v>
      </c>
      <c r="D17" s="23" t="s">
        <v>4321</v>
      </c>
      <c r="E17" s="43">
        <v>46125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4418</v>
      </c>
      <c r="C18" s="41" t="s">
        <v>4419</v>
      </c>
      <c r="D18" s="39" t="s">
        <v>4321</v>
      </c>
      <c r="E18" s="43">
        <v>46125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4420</v>
      </c>
      <c r="C19" s="25" t="s">
        <v>4421</v>
      </c>
      <c r="D19" s="23" t="s">
        <v>4321</v>
      </c>
      <c r="E19" s="43">
        <v>46125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4422</v>
      </c>
      <c r="C20" s="41" t="s">
        <v>4423</v>
      </c>
      <c r="D20" s="39" t="s">
        <v>4321</v>
      </c>
      <c r="E20" s="43">
        <v>46125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4424</v>
      </c>
      <c r="C21" s="25" t="s">
        <v>4425</v>
      </c>
      <c r="D21" s="23" t="s">
        <v>4321</v>
      </c>
      <c r="E21" s="43">
        <v>46125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4426</v>
      </c>
      <c r="C22" s="41" t="s">
        <v>4427</v>
      </c>
      <c r="D22" s="39" t="s">
        <v>4321</v>
      </c>
      <c r="E22" s="43">
        <v>46125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4428</v>
      </c>
      <c r="C23" s="25" t="s">
        <v>4429</v>
      </c>
      <c r="D23" s="23" t="s">
        <v>4321</v>
      </c>
      <c r="E23" s="43">
        <v>46125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4430</v>
      </c>
      <c r="C24" s="41" t="s">
        <v>4431</v>
      </c>
      <c r="D24" s="39" t="s">
        <v>4321</v>
      </c>
      <c r="E24" s="43">
        <v>46125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4432</v>
      </c>
      <c r="C25" s="25" t="s">
        <v>4433</v>
      </c>
      <c r="D25" s="23" t="s">
        <v>4321</v>
      </c>
      <c r="E25" s="43">
        <v>46125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4434</v>
      </c>
      <c r="C26" s="41" t="s">
        <v>4435</v>
      </c>
      <c r="D26" s="39" t="s">
        <v>4321</v>
      </c>
      <c r="E26" s="43">
        <v>46125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4436</v>
      </c>
      <c r="C27" s="25" t="s">
        <v>4437</v>
      </c>
      <c r="D27" s="23" t="s">
        <v>4321</v>
      </c>
      <c r="E27" s="43">
        <v>46125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4438</v>
      </c>
      <c r="C28" s="41" t="s">
        <v>4439</v>
      </c>
      <c r="D28" s="39" t="s">
        <v>4321</v>
      </c>
      <c r="E28" s="43">
        <v>46125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4440</v>
      </c>
      <c r="C29" s="25" t="s">
        <v>4441</v>
      </c>
      <c r="D29" s="23" t="s">
        <v>4321</v>
      </c>
      <c r="E29" s="43">
        <v>46125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4442</v>
      </c>
      <c r="C30" s="41" t="s">
        <v>4443</v>
      </c>
      <c r="D30" s="39" t="s">
        <v>4321</v>
      </c>
      <c r="E30" s="43">
        <v>46125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4444</v>
      </c>
      <c r="C31" s="25" t="s">
        <v>4445</v>
      </c>
      <c r="D31" s="23" t="s">
        <v>4321</v>
      </c>
      <c r="E31" s="43">
        <v>46125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4446</v>
      </c>
      <c r="C32" s="41" t="s">
        <v>4447</v>
      </c>
      <c r="D32" s="39" t="s">
        <v>4321</v>
      </c>
      <c r="E32" s="43">
        <v>46125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4448</v>
      </c>
      <c r="C33" s="25" t="s">
        <v>4449</v>
      </c>
      <c r="D33" s="23" t="s">
        <v>4321</v>
      </c>
      <c r="E33" s="43">
        <v>46125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4450</v>
      </c>
      <c r="C34" s="41" t="s">
        <v>4451</v>
      </c>
      <c r="D34" s="39" t="s">
        <v>4321</v>
      </c>
      <c r="E34" s="43">
        <v>46125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4452</v>
      </c>
      <c r="C35" s="25" t="s">
        <v>4453</v>
      </c>
      <c r="D35" s="23" t="s">
        <v>4321</v>
      </c>
      <c r="E35" s="43">
        <v>46125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4454</v>
      </c>
      <c r="C36" s="41" t="s">
        <v>4455</v>
      </c>
      <c r="D36" s="39" t="s">
        <v>4321</v>
      </c>
      <c r="E36" s="43">
        <v>46125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4456</v>
      </c>
      <c r="C37" s="25" t="s">
        <v>4457</v>
      </c>
      <c r="D37" s="23" t="s">
        <v>4321</v>
      </c>
      <c r="E37" s="43">
        <v>46125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3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4458</v>
      </c>
      <c r="C38" s="41" t="s">
        <v>4459</v>
      </c>
      <c r="D38" s="39" t="s">
        <v>4321</v>
      </c>
      <c r="E38" s="43">
        <v>46125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3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4460</v>
      </c>
      <c r="C39" s="25" t="s">
        <v>4461</v>
      </c>
      <c r="D39" s="23" t="s">
        <v>4321</v>
      </c>
      <c r="E39" s="43">
        <v>46125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3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39 O5:AW39">
    <cfRule type="expression" dxfId="343" priority="56">
      <formula>MOD(ROW(),2)=0</formula>
    </cfRule>
  </conditionalFormatting>
  <conditionalFormatting sqref="G5:G39">
    <cfRule type="expression" dxfId="342" priority="16">
      <formula>G5="No"</formula>
    </cfRule>
    <cfRule type="expression" dxfId="341" priority="15">
      <formula>G5="Yes"</formula>
    </cfRule>
  </conditionalFormatting>
  <conditionalFormatting sqref="H5:H39">
    <cfRule type="expression" dxfId="340" priority="17">
      <formula>H5="Yes"</formula>
    </cfRule>
  </conditionalFormatting>
  <conditionalFormatting sqref="J5:J39">
    <cfRule type="expression" dxfId="339" priority="18">
      <formula>J5="Yes"</formula>
    </cfRule>
    <cfRule type="expression" dxfId="338" priority="19">
      <formula>J5="No"</formula>
    </cfRule>
  </conditionalFormatting>
  <conditionalFormatting sqref="M5:M39">
    <cfRule type="expression" dxfId="337" priority="12">
      <formula>M5="❌ Disc"</formula>
    </cfRule>
    <cfRule type="expression" dxfId="336" priority="13">
      <formula>M5="⚠ Missing"</formula>
    </cfRule>
    <cfRule type="expression" dxfId="335" priority="14">
      <formula>M5="⚠ Check"</formula>
    </cfRule>
    <cfRule type="expression" dxfId="334" priority="11">
      <formula>M5="✓ OK"</formula>
    </cfRule>
  </conditionalFormatting>
  <conditionalFormatting sqref="P5:P39">
    <cfRule type="expression" dxfId="333" priority="24">
      <formula>P5="Yes"</formula>
    </cfRule>
    <cfRule type="expression" dxfId="332" priority="25">
      <formula>P5="No"</formula>
    </cfRule>
  </conditionalFormatting>
  <conditionalFormatting sqref="Q5:Q39">
    <cfRule type="expression" dxfId="331" priority="26">
      <formula>Q5="Yes"</formula>
    </cfRule>
  </conditionalFormatting>
  <conditionalFormatting sqref="S5:S39">
    <cfRule type="expression" dxfId="330" priority="27">
      <formula>S5="Yes"</formula>
    </cfRule>
    <cfRule type="expression" dxfId="329" priority="28">
      <formula>S5="No"</formula>
    </cfRule>
  </conditionalFormatting>
  <conditionalFormatting sqref="V5:V39">
    <cfRule type="expression" dxfId="328" priority="20">
      <formula>V5="✓ OK"</formula>
    </cfRule>
    <cfRule type="expression" dxfId="327" priority="21">
      <formula>V5="❌ Disc"</formula>
    </cfRule>
    <cfRule type="expression" dxfId="326" priority="22">
      <formula>V5="⚠ Missing"</formula>
    </cfRule>
    <cfRule type="expression" dxfId="325" priority="23">
      <formula>V5="⚠ Check"</formula>
    </cfRule>
  </conditionalFormatting>
  <conditionalFormatting sqref="Y5:Y39">
    <cfRule type="expression" dxfId="324" priority="34">
      <formula>Y5="No"</formula>
    </cfRule>
    <cfRule type="expression" dxfId="323" priority="33">
      <formula>Y5="Yes"</formula>
    </cfRule>
  </conditionalFormatting>
  <conditionalFormatting sqref="Z5:Z39">
    <cfRule type="expression" dxfId="322" priority="35">
      <formula>Z5="Yes"</formula>
    </cfRule>
  </conditionalFormatting>
  <conditionalFormatting sqref="AB5:AB39">
    <cfRule type="expression" dxfId="321" priority="36">
      <formula>AB5="Yes"</formula>
    </cfRule>
    <cfRule type="expression" dxfId="320" priority="37">
      <formula>AB5="No"</formula>
    </cfRule>
  </conditionalFormatting>
  <conditionalFormatting sqref="AE5:AE39">
    <cfRule type="expression" dxfId="319" priority="30">
      <formula>AE5="❌ Disc"</formula>
    </cfRule>
    <cfRule type="expression" dxfId="318" priority="31">
      <formula>AE5="⚠ Missing"</formula>
    </cfRule>
    <cfRule type="expression" dxfId="317" priority="32">
      <formula>AE5="⚠ Check"</formula>
    </cfRule>
    <cfRule type="expression" dxfId="316" priority="29">
      <formula>AE5="✓ OK"</formula>
    </cfRule>
  </conditionalFormatting>
  <conditionalFormatting sqref="AH5:AH39">
    <cfRule type="expression" dxfId="315" priority="42">
      <formula>AH5="Yes"</formula>
    </cfRule>
    <cfRule type="expression" dxfId="314" priority="43">
      <formula>AH5="No"</formula>
    </cfRule>
  </conditionalFormatting>
  <conditionalFormatting sqref="AI5:AI39">
    <cfRule type="expression" dxfId="313" priority="44">
      <formula>AI5="Yes"</formula>
    </cfRule>
  </conditionalFormatting>
  <conditionalFormatting sqref="AK5:AK39">
    <cfRule type="expression" dxfId="312" priority="45">
      <formula>AK5="Yes"</formula>
    </cfRule>
    <cfRule type="expression" dxfId="311" priority="46">
      <formula>AK5="No"</formula>
    </cfRule>
  </conditionalFormatting>
  <conditionalFormatting sqref="AN5:AN39">
    <cfRule type="expression" dxfId="310" priority="39">
      <formula>AN5="❌ Disc"</formula>
    </cfRule>
    <cfRule type="expression" dxfId="309" priority="40">
      <formula>AN5="⚠ Missing"</formula>
    </cfRule>
    <cfRule type="expression" dxfId="308" priority="41">
      <formula>AN5="⚠ Check"</formula>
    </cfRule>
    <cfRule type="expression" dxfId="307" priority="38">
      <formula>AN5="✓ OK"</formula>
    </cfRule>
  </conditionalFormatting>
  <conditionalFormatting sqref="AQ5:AQ39">
    <cfRule type="expression" dxfId="306" priority="52">
      <formula>AQ5="No"</formula>
    </cfRule>
    <cfRule type="expression" dxfId="305" priority="51">
      <formula>AQ5="Yes"</formula>
    </cfRule>
  </conditionalFormatting>
  <conditionalFormatting sqref="AR5:AR39">
    <cfRule type="expression" dxfId="304" priority="53">
      <formula>AR5="Yes"</formula>
    </cfRule>
  </conditionalFormatting>
  <conditionalFormatting sqref="AT5:AT39">
    <cfRule type="expression" dxfId="303" priority="54">
      <formula>AT5="Yes"</formula>
    </cfRule>
    <cfRule type="expression" dxfId="302" priority="55">
      <formula>AT5="No"</formula>
    </cfRule>
  </conditionalFormatting>
  <conditionalFormatting sqref="AW5:AW39">
    <cfRule type="expression" dxfId="301" priority="47">
      <formula>AW5="✓ OK"</formula>
    </cfRule>
    <cfRule type="expression" dxfId="300" priority="48">
      <formula>AW5="❌ Disc"</formula>
    </cfRule>
    <cfRule type="expression" dxfId="299" priority="49">
      <formula>AW5="⚠ Missing"</formula>
    </cfRule>
    <cfRule type="expression" dxfId="298" priority="50">
      <formula>AW5="⚠ Check"</formula>
    </cfRule>
  </conditionalFormatting>
  <conditionalFormatting sqref="P5:P39">
    <cfRule type="expression" dxfId="43" priority="6">
      <formula>P5="Yes"</formula>
    </cfRule>
    <cfRule type="expression" dxfId="44" priority="7">
      <formula>P5="No"</formula>
    </cfRule>
  </conditionalFormatting>
  <conditionalFormatting sqref="Q5:Q39">
    <cfRule type="expression" dxfId="42" priority="8">
      <formula>Q5="Yes"</formula>
    </cfRule>
  </conditionalFormatting>
  <conditionalFormatting sqref="S5:S39">
    <cfRule type="expression" dxfId="41" priority="9">
      <formula>S5="Yes"</formula>
    </cfRule>
    <cfRule type="expression" dxfId="40" priority="10">
      <formula>S5="No"</formula>
    </cfRule>
  </conditionalFormatting>
  <conditionalFormatting sqref="V5:V39">
    <cfRule type="expression" dxfId="36" priority="2">
      <formula>V5="✓ OK"</formula>
    </cfRule>
    <cfRule type="expression" dxfId="39" priority="3">
      <formula>V5="❌ Disc"</formula>
    </cfRule>
    <cfRule type="expression" dxfId="38" priority="4">
      <formula>V5="⚠ Missing"</formula>
    </cfRule>
    <cfRule type="expression" dxfId="37" priority="5">
      <formula>V5="⚠ Check"</formula>
    </cfRule>
  </conditionalFormatting>
  <conditionalFormatting sqref="N5:N39">
    <cfRule type="expression" dxfId="35" priority="1">
      <formula>MOD(ROW(),2)=0</formula>
    </cfRule>
  </conditionalFormatting>
  <dataValidations count="2">
    <dataValidation type="list" allowBlank="1" sqref="AT5:AT39 AQ5:AR39 AK5:AK39 AH5:AI39 AB5:AB39 Y5:Z39 G5:H39 J5:J39 P5:Q39 S5:S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J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4462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4463</v>
      </c>
      <c r="C5" s="25" t="s">
        <v>4464</v>
      </c>
      <c r="D5" s="23" t="s">
        <v>21</v>
      </c>
      <c r="E5" s="43">
        <v>46125</v>
      </c>
      <c r="F5" s="26" t="s">
        <v>55</v>
      </c>
      <c r="G5" s="44" t="s">
        <v>770</v>
      </c>
      <c r="H5" s="26" t="s">
        <v>57</v>
      </c>
      <c r="I5" s="44" t="s">
        <v>770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3">
        <v>46196</v>
      </c>
      <c r="O5" s="26" t="s">
        <v>55</v>
      </c>
      <c r="P5" s="44" t="s">
        <v>770</v>
      </c>
      <c r="Q5" s="26" t="s">
        <v>57</v>
      </c>
      <c r="R5" s="44" t="s">
        <v>770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4465</v>
      </c>
      <c r="C6" s="41" t="s">
        <v>4466</v>
      </c>
      <c r="D6" s="39" t="s">
        <v>21</v>
      </c>
      <c r="E6" s="43">
        <v>46125</v>
      </c>
      <c r="F6" s="26" t="s">
        <v>55</v>
      </c>
      <c r="G6" s="44" t="s">
        <v>770</v>
      </c>
      <c r="H6" s="26" t="s">
        <v>57</v>
      </c>
      <c r="I6" s="44" t="s">
        <v>770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46196</v>
      </c>
      <c r="O6" s="26" t="s">
        <v>55</v>
      </c>
      <c r="P6" s="44" t="s">
        <v>770</v>
      </c>
      <c r="Q6" s="26" t="s">
        <v>57</v>
      </c>
      <c r="R6" s="44" t="s">
        <v>770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4467</v>
      </c>
      <c r="C7" s="25" t="s">
        <v>4468</v>
      </c>
      <c r="D7" s="23" t="s">
        <v>21</v>
      </c>
      <c r="E7" s="43">
        <v>46125</v>
      </c>
      <c r="F7" s="26" t="s">
        <v>55</v>
      </c>
      <c r="G7" s="44" t="s">
        <v>770</v>
      </c>
      <c r="H7" s="26" t="s">
        <v>57</v>
      </c>
      <c r="I7" s="44" t="s">
        <v>770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46196</v>
      </c>
      <c r="O7" s="26" t="s">
        <v>55</v>
      </c>
      <c r="P7" s="44" t="s">
        <v>770</v>
      </c>
      <c r="Q7" s="26" t="s">
        <v>57</v>
      </c>
      <c r="R7" s="44" t="s">
        <v>770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4469</v>
      </c>
      <c r="C8" s="41" t="s">
        <v>4470</v>
      </c>
      <c r="D8" s="39" t="s">
        <v>21</v>
      </c>
      <c r="E8" s="43">
        <v>46125</v>
      </c>
      <c r="F8" s="26" t="s">
        <v>55</v>
      </c>
      <c r="G8" s="44" t="s">
        <v>770</v>
      </c>
      <c r="H8" s="26" t="s">
        <v>57</v>
      </c>
      <c r="I8" s="44" t="s">
        <v>770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46196</v>
      </c>
      <c r="O8" s="26" t="s">
        <v>55</v>
      </c>
      <c r="P8" s="44" t="s">
        <v>770</v>
      </c>
      <c r="Q8" s="26" t="s">
        <v>57</v>
      </c>
      <c r="R8" s="44" t="s">
        <v>770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4471</v>
      </c>
      <c r="C9" s="25" t="s">
        <v>4472</v>
      </c>
      <c r="D9" s="23" t="s">
        <v>21</v>
      </c>
      <c r="E9" s="43">
        <v>46125</v>
      </c>
      <c r="F9" s="26" t="s">
        <v>55</v>
      </c>
      <c r="G9" s="44" t="s">
        <v>770</v>
      </c>
      <c r="H9" s="26" t="s">
        <v>57</v>
      </c>
      <c r="I9" s="44" t="s">
        <v>770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46196</v>
      </c>
      <c r="O9" s="26" t="s">
        <v>55</v>
      </c>
      <c r="P9" s="44" t="s">
        <v>770</v>
      </c>
      <c r="Q9" s="26" t="s">
        <v>57</v>
      </c>
      <c r="R9" s="44" t="s">
        <v>770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4473</v>
      </c>
      <c r="C10" s="41" t="s">
        <v>4474</v>
      </c>
      <c r="D10" s="39" t="s">
        <v>21</v>
      </c>
      <c r="E10" s="43">
        <v>46125</v>
      </c>
      <c r="F10" s="26" t="s">
        <v>55</v>
      </c>
      <c r="G10" s="44" t="s">
        <v>770</v>
      </c>
      <c r="H10" s="26" t="s">
        <v>57</v>
      </c>
      <c r="I10" s="44" t="s">
        <v>770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46196</v>
      </c>
      <c r="O10" s="26" t="s">
        <v>55</v>
      </c>
      <c r="P10" s="44" t="s">
        <v>770</v>
      </c>
      <c r="Q10" s="26" t="s">
        <v>57</v>
      </c>
      <c r="R10" s="44" t="s">
        <v>770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4475</v>
      </c>
      <c r="C11" s="25" t="s">
        <v>4476</v>
      </c>
      <c r="D11" s="23" t="s">
        <v>21</v>
      </c>
      <c r="E11" s="43">
        <v>46125</v>
      </c>
      <c r="F11" s="26" t="s">
        <v>55</v>
      </c>
      <c r="G11" s="44" t="s">
        <v>770</v>
      </c>
      <c r="H11" s="26" t="s">
        <v>57</v>
      </c>
      <c r="I11" s="44" t="s">
        <v>770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46196</v>
      </c>
      <c r="O11" s="26" t="s">
        <v>55</v>
      </c>
      <c r="P11" s="44" t="s">
        <v>770</v>
      </c>
      <c r="Q11" s="26" t="s">
        <v>57</v>
      </c>
      <c r="R11" s="44" t="s">
        <v>770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4477</v>
      </c>
      <c r="C12" s="41" t="s">
        <v>4478</v>
      </c>
      <c r="D12" s="39" t="s">
        <v>21</v>
      </c>
      <c r="E12" s="43">
        <v>46125</v>
      </c>
      <c r="F12" s="26" t="s">
        <v>55</v>
      </c>
      <c r="G12" s="44" t="s">
        <v>770</v>
      </c>
      <c r="H12" s="26" t="s">
        <v>57</v>
      </c>
      <c r="I12" s="44" t="s">
        <v>770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46196</v>
      </c>
      <c r="O12" s="26" t="s">
        <v>55</v>
      </c>
      <c r="P12" s="44" t="s">
        <v>770</v>
      </c>
      <c r="Q12" s="26" t="s">
        <v>57</v>
      </c>
      <c r="R12" s="44" t="s">
        <v>770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4479</v>
      </c>
      <c r="C13" s="25" t="s">
        <v>4480</v>
      </c>
      <c r="D13" s="23" t="s">
        <v>21</v>
      </c>
      <c r="E13" s="43">
        <v>46125</v>
      </c>
      <c r="F13" s="26" t="s">
        <v>55</v>
      </c>
      <c r="G13" s="44" t="s">
        <v>770</v>
      </c>
      <c r="H13" s="26" t="s">
        <v>57</v>
      </c>
      <c r="I13" s="44" t="s">
        <v>770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46196</v>
      </c>
      <c r="O13" s="26" t="s">
        <v>55</v>
      </c>
      <c r="P13" s="44" t="s">
        <v>770</v>
      </c>
      <c r="Q13" s="26" t="s">
        <v>57</v>
      </c>
      <c r="R13" s="44" t="s">
        <v>770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4481</v>
      </c>
      <c r="C14" s="41" t="s">
        <v>4482</v>
      </c>
      <c r="D14" s="39" t="s">
        <v>21</v>
      </c>
      <c r="E14" s="43">
        <v>46125</v>
      </c>
      <c r="F14" s="26" t="s">
        <v>55</v>
      </c>
      <c r="G14" s="44" t="s">
        <v>770</v>
      </c>
      <c r="H14" s="26" t="s">
        <v>57</v>
      </c>
      <c r="I14" s="44" t="s">
        <v>770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46196</v>
      </c>
      <c r="O14" s="26" t="s">
        <v>55</v>
      </c>
      <c r="P14" s="44" t="s">
        <v>770</v>
      </c>
      <c r="Q14" s="26" t="s">
        <v>57</v>
      </c>
      <c r="R14" s="44" t="s">
        <v>770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4483</v>
      </c>
      <c r="C15" s="25" t="s">
        <v>4484</v>
      </c>
      <c r="D15" s="23" t="s">
        <v>21</v>
      </c>
      <c r="E15" s="43">
        <v>46125</v>
      </c>
      <c r="F15" s="26" t="s">
        <v>55</v>
      </c>
      <c r="G15" s="44" t="s">
        <v>56</v>
      </c>
      <c r="H15" s="26" t="s">
        <v>57</v>
      </c>
      <c r="I15" s="44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46196</v>
      </c>
      <c r="O15" s="26" t="s">
        <v>55</v>
      </c>
      <c r="P15" s="44" t="s">
        <v>56</v>
      </c>
      <c r="Q15" s="26" t="s">
        <v>57</v>
      </c>
      <c r="R15" s="44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4485</v>
      </c>
      <c r="C16" s="41" t="s">
        <v>4486</v>
      </c>
      <c r="D16" s="39" t="s">
        <v>21</v>
      </c>
      <c r="E16" s="43">
        <v>46125</v>
      </c>
      <c r="F16" s="26" t="s">
        <v>55</v>
      </c>
      <c r="G16" s="44" t="s">
        <v>770</v>
      </c>
      <c r="H16" s="26" t="s">
        <v>57</v>
      </c>
      <c r="I16" s="44" t="s">
        <v>770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46196</v>
      </c>
      <c r="O16" s="26" t="s">
        <v>55</v>
      </c>
      <c r="P16" s="44" t="s">
        <v>770</v>
      </c>
      <c r="Q16" s="26" t="s">
        <v>57</v>
      </c>
      <c r="R16" s="44" t="s">
        <v>770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4487</v>
      </c>
      <c r="C17" s="25" t="s">
        <v>4488</v>
      </c>
      <c r="D17" s="23" t="s">
        <v>21</v>
      </c>
      <c r="E17" s="43">
        <v>46125</v>
      </c>
      <c r="F17" s="26" t="s">
        <v>55</v>
      </c>
      <c r="G17" s="44" t="s">
        <v>770</v>
      </c>
      <c r="H17" s="26" t="s">
        <v>57</v>
      </c>
      <c r="I17" s="44" t="s">
        <v>770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46196</v>
      </c>
      <c r="O17" s="26" t="s">
        <v>55</v>
      </c>
      <c r="P17" s="44" t="s">
        <v>770</v>
      </c>
      <c r="Q17" s="26" t="s">
        <v>57</v>
      </c>
      <c r="R17" s="44" t="s">
        <v>770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4489</v>
      </c>
      <c r="C18" s="41" t="s">
        <v>4490</v>
      </c>
      <c r="D18" s="39" t="s">
        <v>21</v>
      </c>
      <c r="E18" s="43">
        <v>46125</v>
      </c>
      <c r="F18" s="26" t="s">
        <v>55</v>
      </c>
      <c r="G18" s="44" t="s">
        <v>56</v>
      </c>
      <c r="H18" s="26" t="s">
        <v>57</v>
      </c>
      <c r="I18" s="44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46196</v>
      </c>
      <c r="O18" s="26" t="s">
        <v>55</v>
      </c>
      <c r="P18" s="44" t="s">
        <v>56</v>
      </c>
      <c r="Q18" s="26" t="s">
        <v>57</v>
      </c>
      <c r="R18" s="44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4491</v>
      </c>
      <c r="C19" s="25" t="s">
        <v>4492</v>
      </c>
      <c r="D19" s="23" t="s">
        <v>21</v>
      </c>
      <c r="E19" s="43">
        <v>46125</v>
      </c>
      <c r="F19" s="26" t="s">
        <v>55</v>
      </c>
      <c r="G19" s="44" t="s">
        <v>770</v>
      </c>
      <c r="H19" s="26" t="s">
        <v>57</v>
      </c>
      <c r="I19" s="44" t="s">
        <v>770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46196</v>
      </c>
      <c r="O19" s="26" t="s">
        <v>55</v>
      </c>
      <c r="P19" s="44" t="s">
        <v>770</v>
      </c>
      <c r="Q19" s="26" t="s">
        <v>57</v>
      </c>
      <c r="R19" s="44" t="s">
        <v>770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4493</v>
      </c>
      <c r="C20" s="41" t="s">
        <v>4494</v>
      </c>
      <c r="D20" s="39" t="s">
        <v>21</v>
      </c>
      <c r="E20" s="43">
        <v>46125</v>
      </c>
      <c r="F20" s="26" t="s">
        <v>55</v>
      </c>
      <c r="G20" s="44" t="s">
        <v>770</v>
      </c>
      <c r="H20" s="26" t="s">
        <v>57</v>
      </c>
      <c r="I20" s="44" t="s">
        <v>770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46196</v>
      </c>
      <c r="O20" s="26" t="s">
        <v>55</v>
      </c>
      <c r="P20" s="44" t="s">
        <v>770</v>
      </c>
      <c r="Q20" s="26" t="s">
        <v>57</v>
      </c>
      <c r="R20" s="44" t="s">
        <v>770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4495</v>
      </c>
      <c r="C21" s="25" t="s">
        <v>4496</v>
      </c>
      <c r="D21" s="23" t="s">
        <v>21</v>
      </c>
      <c r="E21" s="43">
        <v>46125</v>
      </c>
      <c r="F21" s="26" t="s">
        <v>55</v>
      </c>
      <c r="G21" s="44" t="s">
        <v>56</v>
      </c>
      <c r="H21" s="26" t="s">
        <v>57</v>
      </c>
      <c r="I21" s="44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46196</v>
      </c>
      <c r="O21" s="26" t="s">
        <v>55</v>
      </c>
      <c r="P21" s="44" t="s">
        <v>56</v>
      </c>
      <c r="Q21" s="26" t="s">
        <v>57</v>
      </c>
      <c r="R21" s="44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4497</v>
      </c>
      <c r="C22" s="41" t="s">
        <v>4498</v>
      </c>
      <c r="D22" s="39" t="s">
        <v>21</v>
      </c>
      <c r="E22" s="43">
        <v>46125</v>
      </c>
      <c r="F22" s="26" t="s">
        <v>55</v>
      </c>
      <c r="G22" s="44" t="s">
        <v>770</v>
      </c>
      <c r="H22" s="26" t="s">
        <v>57</v>
      </c>
      <c r="I22" s="44" t="s">
        <v>770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46196</v>
      </c>
      <c r="O22" s="26" t="s">
        <v>55</v>
      </c>
      <c r="P22" s="44" t="s">
        <v>770</v>
      </c>
      <c r="Q22" s="26" t="s">
        <v>57</v>
      </c>
      <c r="R22" s="44" t="s">
        <v>770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4499</v>
      </c>
      <c r="C23" s="25" t="s">
        <v>4500</v>
      </c>
      <c r="D23" s="23" t="s">
        <v>21</v>
      </c>
      <c r="E23" s="43">
        <v>46125</v>
      </c>
      <c r="F23" s="26" t="s">
        <v>55</v>
      </c>
      <c r="G23" s="44" t="s">
        <v>56</v>
      </c>
      <c r="H23" s="26" t="s">
        <v>57</v>
      </c>
      <c r="I23" s="44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46196</v>
      </c>
      <c r="O23" s="26" t="s">
        <v>55</v>
      </c>
      <c r="P23" s="44" t="s">
        <v>56</v>
      </c>
      <c r="Q23" s="26" t="s">
        <v>57</v>
      </c>
      <c r="R23" s="44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4501</v>
      </c>
      <c r="C24" s="41" t="s">
        <v>4502</v>
      </c>
      <c r="D24" s="39" t="s">
        <v>21</v>
      </c>
      <c r="E24" s="43">
        <v>46125</v>
      </c>
      <c r="F24" s="26" t="s">
        <v>55</v>
      </c>
      <c r="G24" s="44" t="s">
        <v>770</v>
      </c>
      <c r="H24" s="26" t="s">
        <v>57</v>
      </c>
      <c r="I24" s="44" t="s">
        <v>770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46196</v>
      </c>
      <c r="O24" s="26" t="s">
        <v>55</v>
      </c>
      <c r="P24" s="44" t="s">
        <v>770</v>
      </c>
      <c r="Q24" s="26" t="s">
        <v>57</v>
      </c>
      <c r="R24" s="44" t="s">
        <v>770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4503</v>
      </c>
      <c r="C25" s="25" t="s">
        <v>4504</v>
      </c>
      <c r="D25" s="23" t="s">
        <v>21</v>
      </c>
      <c r="E25" s="43">
        <v>46125</v>
      </c>
      <c r="F25" s="26" t="s">
        <v>55</v>
      </c>
      <c r="G25" s="44" t="s">
        <v>56</v>
      </c>
      <c r="H25" s="26" t="s">
        <v>57</v>
      </c>
      <c r="I25" s="44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46196</v>
      </c>
      <c r="O25" s="26" t="s">
        <v>55</v>
      </c>
      <c r="P25" s="44" t="s">
        <v>56</v>
      </c>
      <c r="Q25" s="26" t="s">
        <v>57</v>
      </c>
      <c r="R25" s="44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4505</v>
      </c>
      <c r="C26" s="41" t="s">
        <v>4506</v>
      </c>
      <c r="D26" s="39" t="s">
        <v>21</v>
      </c>
      <c r="E26" s="43">
        <v>46125</v>
      </c>
      <c r="F26" s="26" t="s">
        <v>55</v>
      </c>
      <c r="G26" s="44" t="s">
        <v>770</v>
      </c>
      <c r="H26" s="26" t="s">
        <v>57</v>
      </c>
      <c r="I26" s="44" t="s">
        <v>770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46196</v>
      </c>
      <c r="O26" s="26" t="s">
        <v>55</v>
      </c>
      <c r="P26" s="44" t="s">
        <v>770</v>
      </c>
      <c r="Q26" s="26" t="s">
        <v>57</v>
      </c>
      <c r="R26" s="44" t="s">
        <v>770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4507</v>
      </c>
      <c r="C27" s="25" t="s">
        <v>4508</v>
      </c>
      <c r="D27" s="23" t="s">
        <v>21</v>
      </c>
      <c r="E27" s="43">
        <v>46125</v>
      </c>
      <c r="F27" s="26" t="s">
        <v>55</v>
      </c>
      <c r="G27" s="44" t="s">
        <v>56</v>
      </c>
      <c r="H27" s="26" t="s">
        <v>57</v>
      </c>
      <c r="I27" s="44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46196</v>
      </c>
      <c r="O27" s="26" t="s">
        <v>55</v>
      </c>
      <c r="P27" s="44" t="s">
        <v>56</v>
      </c>
      <c r="Q27" s="26" t="s">
        <v>57</v>
      </c>
      <c r="R27" s="44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4509</v>
      </c>
      <c r="C28" s="41" t="s">
        <v>4510</v>
      </c>
      <c r="D28" s="39" t="s">
        <v>21</v>
      </c>
      <c r="E28" s="43">
        <v>46125</v>
      </c>
      <c r="F28" s="26" t="s">
        <v>55</v>
      </c>
      <c r="G28" s="44" t="s">
        <v>56</v>
      </c>
      <c r="H28" s="26" t="s">
        <v>57</v>
      </c>
      <c r="I28" s="44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46196</v>
      </c>
      <c r="O28" s="26" t="s">
        <v>55</v>
      </c>
      <c r="P28" s="44" t="s">
        <v>56</v>
      </c>
      <c r="Q28" s="26" t="s">
        <v>57</v>
      </c>
      <c r="R28" s="44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4511</v>
      </c>
      <c r="C29" s="25" t="s">
        <v>4512</v>
      </c>
      <c r="D29" s="23" t="s">
        <v>21</v>
      </c>
      <c r="E29" s="43">
        <v>46125</v>
      </c>
      <c r="F29" s="26" t="s">
        <v>55</v>
      </c>
      <c r="G29" s="44" t="s">
        <v>56</v>
      </c>
      <c r="H29" s="26" t="s">
        <v>57</v>
      </c>
      <c r="I29" s="44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46196</v>
      </c>
      <c r="O29" s="26" t="s">
        <v>55</v>
      </c>
      <c r="P29" s="44" t="s">
        <v>56</v>
      </c>
      <c r="Q29" s="26" t="s">
        <v>57</v>
      </c>
      <c r="R29" s="44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4513</v>
      </c>
      <c r="C30" s="41" t="s">
        <v>4514</v>
      </c>
      <c r="D30" s="39" t="s">
        <v>21</v>
      </c>
      <c r="E30" s="43">
        <v>46125</v>
      </c>
      <c r="F30" s="26" t="s">
        <v>55</v>
      </c>
      <c r="G30" s="44" t="s">
        <v>770</v>
      </c>
      <c r="H30" s="26" t="s">
        <v>57</v>
      </c>
      <c r="I30" s="44" t="s">
        <v>770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46196</v>
      </c>
      <c r="O30" s="26" t="s">
        <v>55</v>
      </c>
      <c r="P30" s="44" t="s">
        <v>770</v>
      </c>
      <c r="Q30" s="26" t="s">
        <v>57</v>
      </c>
      <c r="R30" s="44" t="s">
        <v>770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4515</v>
      </c>
      <c r="C31" s="25" t="s">
        <v>4516</v>
      </c>
      <c r="D31" s="23" t="s">
        <v>21</v>
      </c>
      <c r="E31" s="43">
        <v>46125</v>
      </c>
      <c r="F31" s="26" t="s">
        <v>55</v>
      </c>
      <c r="G31" s="44" t="s">
        <v>770</v>
      </c>
      <c r="H31" s="26" t="s">
        <v>57</v>
      </c>
      <c r="I31" s="44" t="s">
        <v>770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46196</v>
      </c>
      <c r="O31" s="26" t="s">
        <v>55</v>
      </c>
      <c r="P31" s="44" t="s">
        <v>770</v>
      </c>
      <c r="Q31" s="26" t="s">
        <v>57</v>
      </c>
      <c r="R31" s="44" t="s">
        <v>770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4517</v>
      </c>
      <c r="C32" s="41" t="s">
        <v>4518</v>
      </c>
      <c r="D32" s="39" t="s">
        <v>21</v>
      </c>
      <c r="E32" s="43">
        <v>46125</v>
      </c>
      <c r="F32" s="26" t="s">
        <v>55</v>
      </c>
      <c r="G32" s="44" t="s">
        <v>770</v>
      </c>
      <c r="H32" s="26" t="s">
        <v>57</v>
      </c>
      <c r="I32" s="44" t="s">
        <v>770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46196</v>
      </c>
      <c r="O32" s="26" t="s">
        <v>55</v>
      </c>
      <c r="P32" s="44" t="s">
        <v>770</v>
      </c>
      <c r="Q32" s="26" t="s">
        <v>57</v>
      </c>
      <c r="R32" s="44" t="s">
        <v>770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4519</v>
      </c>
      <c r="C33" s="25" t="s">
        <v>4520</v>
      </c>
      <c r="D33" s="23" t="s">
        <v>21</v>
      </c>
      <c r="E33" s="43">
        <v>46125</v>
      </c>
      <c r="F33" s="26" t="s">
        <v>55</v>
      </c>
      <c r="G33" s="44" t="s">
        <v>770</v>
      </c>
      <c r="H33" s="26" t="s">
        <v>57</v>
      </c>
      <c r="I33" s="44" t="s">
        <v>770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46196</v>
      </c>
      <c r="O33" s="26" t="s">
        <v>55</v>
      </c>
      <c r="P33" s="44" t="s">
        <v>770</v>
      </c>
      <c r="Q33" s="26" t="s">
        <v>57</v>
      </c>
      <c r="R33" s="44" t="s">
        <v>770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4521</v>
      </c>
      <c r="C34" s="41" t="s">
        <v>4522</v>
      </c>
      <c r="D34" s="39" t="s">
        <v>21</v>
      </c>
      <c r="E34" s="43">
        <v>46125</v>
      </c>
      <c r="F34" s="26" t="s">
        <v>55</v>
      </c>
      <c r="G34" s="44" t="s">
        <v>770</v>
      </c>
      <c r="H34" s="26" t="s">
        <v>57</v>
      </c>
      <c r="I34" s="44" t="s">
        <v>770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46196</v>
      </c>
      <c r="O34" s="26" t="s">
        <v>55</v>
      </c>
      <c r="P34" s="44" t="s">
        <v>770</v>
      </c>
      <c r="Q34" s="26" t="s">
        <v>57</v>
      </c>
      <c r="R34" s="44" t="s">
        <v>770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4523</v>
      </c>
      <c r="C35" s="25" t="s">
        <v>4524</v>
      </c>
      <c r="D35" s="23" t="s">
        <v>21</v>
      </c>
      <c r="E35" s="43">
        <v>46125</v>
      </c>
      <c r="F35" s="26" t="s">
        <v>55</v>
      </c>
      <c r="G35" s="44" t="s">
        <v>770</v>
      </c>
      <c r="H35" s="26" t="s">
        <v>57</v>
      </c>
      <c r="I35" s="44" t="s">
        <v>770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46196</v>
      </c>
      <c r="O35" s="26" t="s">
        <v>55</v>
      </c>
      <c r="P35" s="44" t="s">
        <v>770</v>
      </c>
      <c r="Q35" s="26" t="s">
        <v>57</v>
      </c>
      <c r="R35" s="44" t="s">
        <v>770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4525</v>
      </c>
      <c r="C36" s="41" t="s">
        <v>4526</v>
      </c>
      <c r="D36" s="39" t="s">
        <v>21</v>
      </c>
      <c r="E36" s="43">
        <v>46125</v>
      </c>
      <c r="F36" s="26" t="s">
        <v>55</v>
      </c>
      <c r="G36" s="44" t="s">
        <v>770</v>
      </c>
      <c r="H36" s="26" t="s">
        <v>57</v>
      </c>
      <c r="I36" s="44" t="s">
        <v>770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46196</v>
      </c>
      <c r="O36" s="26" t="s">
        <v>55</v>
      </c>
      <c r="P36" s="44" t="s">
        <v>770</v>
      </c>
      <c r="Q36" s="26" t="s">
        <v>57</v>
      </c>
      <c r="R36" s="44" t="s">
        <v>770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4527</v>
      </c>
      <c r="C37" s="25" t="s">
        <v>4528</v>
      </c>
      <c r="D37" s="23" t="s">
        <v>21</v>
      </c>
      <c r="E37" s="43">
        <v>46125</v>
      </c>
      <c r="F37" s="26" t="s">
        <v>55</v>
      </c>
      <c r="G37" s="44" t="s">
        <v>770</v>
      </c>
      <c r="H37" s="26" t="s">
        <v>57</v>
      </c>
      <c r="I37" s="44" t="s">
        <v>770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3">
        <v>46196</v>
      </c>
      <c r="O37" s="26" t="s">
        <v>55</v>
      </c>
      <c r="P37" s="44" t="s">
        <v>770</v>
      </c>
      <c r="Q37" s="26" t="s">
        <v>57</v>
      </c>
      <c r="R37" s="44" t="s">
        <v>770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4529</v>
      </c>
      <c r="C38" s="41" t="s">
        <v>4530</v>
      </c>
      <c r="D38" s="39" t="s">
        <v>21</v>
      </c>
      <c r="E38" s="43">
        <v>46125</v>
      </c>
      <c r="F38" s="26" t="s">
        <v>55</v>
      </c>
      <c r="G38" s="44" t="s">
        <v>56</v>
      </c>
      <c r="H38" s="26" t="s">
        <v>57</v>
      </c>
      <c r="I38" s="44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3">
        <v>46196</v>
      </c>
      <c r="O38" s="26" t="s">
        <v>55</v>
      </c>
      <c r="P38" s="44" t="s">
        <v>56</v>
      </c>
      <c r="Q38" s="26" t="s">
        <v>57</v>
      </c>
      <c r="R38" s="44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4531</v>
      </c>
      <c r="C39" s="25" t="s">
        <v>4532</v>
      </c>
      <c r="D39" s="23" t="s">
        <v>21</v>
      </c>
      <c r="E39" s="43">
        <v>46125</v>
      </c>
      <c r="F39" s="26" t="s">
        <v>55</v>
      </c>
      <c r="G39" s="44" t="s">
        <v>770</v>
      </c>
      <c r="H39" s="26" t="s">
        <v>57</v>
      </c>
      <c r="I39" s="44" t="s">
        <v>770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3">
        <v>46196</v>
      </c>
      <c r="O39" s="26" t="s">
        <v>55</v>
      </c>
      <c r="P39" s="44" t="s">
        <v>770</v>
      </c>
      <c r="Q39" s="26" t="s">
        <v>57</v>
      </c>
      <c r="R39" s="44" t="s">
        <v>770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4533</v>
      </c>
      <c r="C40" s="41" t="s">
        <v>4534</v>
      </c>
      <c r="D40" s="39" t="s">
        <v>21</v>
      </c>
      <c r="E40" s="43">
        <v>46125</v>
      </c>
      <c r="F40" s="26" t="s">
        <v>55</v>
      </c>
      <c r="G40" s="44" t="s">
        <v>770</v>
      </c>
      <c r="H40" s="26" t="s">
        <v>57</v>
      </c>
      <c r="I40" s="44" t="s">
        <v>770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3">
        <v>46196</v>
      </c>
      <c r="O40" s="26" t="s">
        <v>55</v>
      </c>
      <c r="P40" s="44" t="s">
        <v>770</v>
      </c>
      <c r="Q40" s="26" t="s">
        <v>57</v>
      </c>
      <c r="R40" s="44" t="s">
        <v>770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4535</v>
      </c>
      <c r="C41" s="25" t="s">
        <v>4536</v>
      </c>
      <c r="D41" s="23" t="s">
        <v>21</v>
      </c>
      <c r="E41" s="43">
        <v>46125</v>
      </c>
      <c r="F41" s="26" t="s">
        <v>55</v>
      </c>
      <c r="G41" s="44" t="s">
        <v>770</v>
      </c>
      <c r="H41" s="26" t="s">
        <v>57</v>
      </c>
      <c r="I41" s="44" t="s">
        <v>770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3">
        <v>46196</v>
      </c>
      <c r="O41" s="26" t="s">
        <v>55</v>
      </c>
      <c r="P41" s="44" t="s">
        <v>770</v>
      </c>
      <c r="Q41" s="26" t="s">
        <v>57</v>
      </c>
      <c r="R41" s="44" t="s">
        <v>770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4537</v>
      </c>
      <c r="C42" s="41" t="s">
        <v>4538</v>
      </c>
      <c r="D42" s="39" t="s">
        <v>21</v>
      </c>
      <c r="E42" s="43">
        <v>46125</v>
      </c>
      <c r="F42" s="26" t="s">
        <v>55</v>
      </c>
      <c r="G42" s="44" t="s">
        <v>770</v>
      </c>
      <c r="H42" s="26" t="s">
        <v>57</v>
      </c>
      <c r="I42" s="44" t="s">
        <v>770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3">
        <v>46196</v>
      </c>
      <c r="O42" s="26" t="s">
        <v>55</v>
      </c>
      <c r="P42" s="44" t="s">
        <v>770</v>
      </c>
      <c r="Q42" s="26" t="s">
        <v>57</v>
      </c>
      <c r="R42" s="44" t="s">
        <v>770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4539</v>
      </c>
      <c r="C43" s="25" t="s">
        <v>4540</v>
      </c>
      <c r="D43" s="23" t="s">
        <v>21</v>
      </c>
      <c r="E43" s="43">
        <v>46125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3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4541</v>
      </c>
      <c r="C44" s="41" t="s">
        <v>4542</v>
      </c>
      <c r="D44" s="39" t="s">
        <v>21</v>
      </c>
      <c r="E44" s="43">
        <v>46125</v>
      </c>
      <c r="F44" s="26" t="s">
        <v>55</v>
      </c>
      <c r="G44" s="44" t="s">
        <v>770</v>
      </c>
      <c r="H44" s="26" t="s">
        <v>57</v>
      </c>
      <c r="I44" s="44" t="s">
        <v>770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3">
        <v>46196</v>
      </c>
      <c r="O44" s="26" t="s">
        <v>55</v>
      </c>
      <c r="P44" s="44" t="s">
        <v>770</v>
      </c>
      <c r="Q44" s="26" t="s">
        <v>57</v>
      </c>
      <c r="R44" s="44" t="s">
        <v>770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4543</v>
      </c>
      <c r="C45" s="25" t="s">
        <v>4544</v>
      </c>
      <c r="D45" s="23" t="s">
        <v>21</v>
      </c>
      <c r="E45" s="43">
        <v>46125</v>
      </c>
      <c r="F45" s="26" t="s">
        <v>55</v>
      </c>
      <c r="G45" s="44" t="s">
        <v>770</v>
      </c>
      <c r="H45" s="26" t="s">
        <v>57</v>
      </c>
      <c r="I45" s="44" t="s">
        <v>770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3">
        <v>46196</v>
      </c>
      <c r="O45" s="26" t="s">
        <v>55</v>
      </c>
      <c r="P45" s="44" t="s">
        <v>770</v>
      </c>
      <c r="Q45" s="26" t="s">
        <v>57</v>
      </c>
      <c r="R45" s="44" t="s">
        <v>770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4545</v>
      </c>
      <c r="C46" s="41" t="s">
        <v>4546</v>
      </c>
      <c r="D46" s="39" t="s">
        <v>21</v>
      </c>
      <c r="E46" s="43">
        <v>46125</v>
      </c>
      <c r="F46" s="26" t="s">
        <v>55</v>
      </c>
      <c r="G46" s="44" t="s">
        <v>770</v>
      </c>
      <c r="H46" s="26" t="s">
        <v>57</v>
      </c>
      <c r="I46" s="44" t="s">
        <v>770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3">
        <v>46196</v>
      </c>
      <c r="O46" s="26" t="s">
        <v>55</v>
      </c>
      <c r="P46" s="44" t="s">
        <v>770</v>
      </c>
      <c r="Q46" s="26" t="s">
        <v>57</v>
      </c>
      <c r="R46" s="44" t="s">
        <v>770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4547</v>
      </c>
      <c r="C47" s="25" t="s">
        <v>4548</v>
      </c>
      <c r="D47" s="23" t="s">
        <v>21</v>
      </c>
      <c r="E47" s="43">
        <v>46125</v>
      </c>
      <c r="F47" s="26" t="s">
        <v>55</v>
      </c>
      <c r="G47" s="44" t="s">
        <v>56</v>
      </c>
      <c r="H47" s="26" t="s">
        <v>57</v>
      </c>
      <c r="I47" s="44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3">
        <v>46196</v>
      </c>
      <c r="O47" s="26" t="s">
        <v>55</v>
      </c>
      <c r="P47" s="44" t="s">
        <v>56</v>
      </c>
      <c r="Q47" s="26" t="s">
        <v>57</v>
      </c>
      <c r="R47" s="44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4549</v>
      </c>
      <c r="C48" s="41" t="s">
        <v>4550</v>
      </c>
      <c r="D48" s="39" t="s">
        <v>21</v>
      </c>
      <c r="E48" s="43">
        <v>46125</v>
      </c>
      <c r="F48" s="26" t="s">
        <v>55</v>
      </c>
      <c r="G48" s="44" t="s">
        <v>56</v>
      </c>
      <c r="H48" s="26" t="s">
        <v>57</v>
      </c>
      <c r="I48" s="44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3">
        <v>46196</v>
      </c>
      <c r="O48" s="26" t="s">
        <v>55</v>
      </c>
      <c r="P48" s="44" t="s">
        <v>56</v>
      </c>
      <c r="Q48" s="26" t="s">
        <v>57</v>
      </c>
      <c r="R48" s="44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4551</v>
      </c>
      <c r="C49" s="25" t="s">
        <v>4552</v>
      </c>
      <c r="D49" s="23" t="s">
        <v>21</v>
      </c>
      <c r="E49" s="43">
        <v>46125</v>
      </c>
      <c r="F49" s="26" t="s">
        <v>55</v>
      </c>
      <c r="G49" s="44" t="s">
        <v>770</v>
      </c>
      <c r="H49" s="26" t="s">
        <v>57</v>
      </c>
      <c r="I49" s="44" t="s">
        <v>770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3">
        <v>46196</v>
      </c>
      <c r="O49" s="26" t="s">
        <v>55</v>
      </c>
      <c r="P49" s="44" t="s">
        <v>770</v>
      </c>
      <c r="Q49" s="26" t="s">
        <v>57</v>
      </c>
      <c r="R49" s="44" t="s">
        <v>770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4553</v>
      </c>
      <c r="C50" s="41" t="s">
        <v>4554</v>
      </c>
      <c r="D50" s="39" t="s">
        <v>21</v>
      </c>
      <c r="E50" s="43">
        <v>46125</v>
      </c>
      <c r="F50" s="26" t="s">
        <v>55</v>
      </c>
      <c r="G50" s="44" t="s">
        <v>770</v>
      </c>
      <c r="H50" s="26" t="s">
        <v>57</v>
      </c>
      <c r="I50" s="44" t="s">
        <v>770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3">
        <v>46196</v>
      </c>
      <c r="O50" s="26" t="s">
        <v>55</v>
      </c>
      <c r="P50" s="44" t="s">
        <v>770</v>
      </c>
      <c r="Q50" s="26" t="s">
        <v>57</v>
      </c>
      <c r="R50" s="44" t="s">
        <v>770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4555</v>
      </c>
      <c r="C51" s="25" t="s">
        <v>4556</v>
      </c>
      <c r="D51" s="23" t="s">
        <v>21</v>
      </c>
      <c r="E51" s="43">
        <v>46125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3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4557</v>
      </c>
      <c r="C52" s="41" t="s">
        <v>4558</v>
      </c>
      <c r="D52" s="39" t="s">
        <v>21</v>
      </c>
      <c r="E52" s="43">
        <v>46125</v>
      </c>
      <c r="F52" s="26" t="s">
        <v>55</v>
      </c>
      <c r="G52" s="44" t="s">
        <v>56</v>
      </c>
      <c r="H52" s="26" t="s">
        <v>57</v>
      </c>
      <c r="I52" s="44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3">
        <v>46196</v>
      </c>
      <c r="O52" s="26" t="s">
        <v>55</v>
      </c>
      <c r="P52" s="44" t="s">
        <v>56</v>
      </c>
      <c r="Q52" s="26" t="s">
        <v>57</v>
      </c>
      <c r="R52" s="44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4559</v>
      </c>
      <c r="C53" s="25" t="s">
        <v>4560</v>
      </c>
      <c r="D53" s="23" t="s">
        <v>21</v>
      </c>
      <c r="E53" s="43">
        <v>46125</v>
      </c>
      <c r="F53" s="26" t="s">
        <v>55</v>
      </c>
      <c r="G53" s="44" t="s">
        <v>56</v>
      </c>
      <c r="H53" s="26" t="s">
        <v>57</v>
      </c>
      <c r="I53" s="44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3">
        <v>46196</v>
      </c>
      <c r="O53" s="26" t="s">
        <v>55</v>
      </c>
      <c r="P53" s="44" t="s">
        <v>56</v>
      </c>
      <c r="Q53" s="26" t="s">
        <v>57</v>
      </c>
      <c r="R53" s="44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4561</v>
      </c>
      <c r="C54" s="41" t="s">
        <v>4562</v>
      </c>
      <c r="D54" s="39" t="s">
        <v>21</v>
      </c>
      <c r="E54" s="43">
        <v>46125</v>
      </c>
      <c r="F54" s="26" t="s">
        <v>55</v>
      </c>
      <c r="G54" s="44" t="s">
        <v>770</v>
      </c>
      <c r="H54" s="26" t="s">
        <v>57</v>
      </c>
      <c r="I54" s="44" t="s">
        <v>770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3">
        <v>46196</v>
      </c>
      <c r="O54" s="26" t="s">
        <v>55</v>
      </c>
      <c r="P54" s="44" t="s">
        <v>770</v>
      </c>
      <c r="Q54" s="26" t="s">
        <v>57</v>
      </c>
      <c r="R54" s="44" t="s">
        <v>770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4563</v>
      </c>
      <c r="C55" s="25" t="s">
        <v>4564</v>
      </c>
      <c r="D55" s="23" t="s">
        <v>21</v>
      </c>
      <c r="E55" s="43">
        <v>46125</v>
      </c>
      <c r="F55" s="26" t="s">
        <v>55</v>
      </c>
      <c r="G55" s="44" t="s">
        <v>770</v>
      </c>
      <c r="H55" s="26" t="s">
        <v>57</v>
      </c>
      <c r="I55" s="44" t="s">
        <v>770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3">
        <v>46196</v>
      </c>
      <c r="O55" s="26" t="s">
        <v>55</v>
      </c>
      <c r="P55" s="44" t="s">
        <v>770</v>
      </c>
      <c r="Q55" s="26" t="s">
        <v>57</v>
      </c>
      <c r="R55" s="44" t="s">
        <v>770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4565</v>
      </c>
      <c r="C56" s="41" t="s">
        <v>4566</v>
      </c>
      <c r="D56" s="39" t="s">
        <v>21</v>
      </c>
      <c r="E56" s="43">
        <v>46125</v>
      </c>
      <c r="F56" s="26" t="s">
        <v>55</v>
      </c>
      <c r="G56" s="44" t="s">
        <v>770</v>
      </c>
      <c r="H56" s="26" t="s">
        <v>57</v>
      </c>
      <c r="I56" s="44" t="s">
        <v>770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3">
        <v>46196</v>
      </c>
      <c r="O56" s="26" t="s">
        <v>55</v>
      </c>
      <c r="P56" s="44" t="s">
        <v>770</v>
      </c>
      <c r="Q56" s="26" t="s">
        <v>57</v>
      </c>
      <c r="R56" s="44" t="s">
        <v>770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4567</v>
      </c>
      <c r="C57" s="25" t="s">
        <v>4568</v>
      </c>
      <c r="D57" s="23" t="s">
        <v>21</v>
      </c>
      <c r="E57" s="43">
        <v>46125</v>
      </c>
      <c r="F57" s="26" t="s">
        <v>55</v>
      </c>
      <c r="G57" s="44" t="s">
        <v>770</v>
      </c>
      <c r="H57" s="26" t="s">
        <v>57</v>
      </c>
      <c r="I57" s="44" t="s">
        <v>770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3">
        <v>46196</v>
      </c>
      <c r="O57" s="26" t="s">
        <v>55</v>
      </c>
      <c r="P57" s="44" t="s">
        <v>770</v>
      </c>
      <c r="Q57" s="26" t="s">
        <v>57</v>
      </c>
      <c r="R57" s="44" t="s">
        <v>770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4569</v>
      </c>
      <c r="C58" s="41" t="s">
        <v>4570</v>
      </c>
      <c r="D58" s="39" t="s">
        <v>21</v>
      </c>
      <c r="E58" s="43">
        <v>46125</v>
      </c>
      <c r="F58" s="26" t="s">
        <v>55</v>
      </c>
      <c r="G58" s="44" t="s">
        <v>770</v>
      </c>
      <c r="H58" s="26" t="s">
        <v>57</v>
      </c>
      <c r="I58" s="44" t="s">
        <v>770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3">
        <v>46196</v>
      </c>
      <c r="O58" s="26" t="s">
        <v>55</v>
      </c>
      <c r="P58" s="44" t="s">
        <v>770</v>
      </c>
      <c r="Q58" s="26" t="s">
        <v>57</v>
      </c>
      <c r="R58" s="44" t="s">
        <v>770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4571</v>
      </c>
      <c r="C59" s="25" t="s">
        <v>4572</v>
      </c>
      <c r="D59" s="23" t="s">
        <v>21</v>
      </c>
      <c r="E59" s="43">
        <v>46125</v>
      </c>
      <c r="F59" s="26" t="s">
        <v>55</v>
      </c>
      <c r="G59" s="44" t="s">
        <v>56</v>
      </c>
      <c r="H59" s="26" t="s">
        <v>57</v>
      </c>
      <c r="I59" s="44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3">
        <v>46196</v>
      </c>
      <c r="O59" s="26" t="s">
        <v>55</v>
      </c>
      <c r="P59" s="44" t="s">
        <v>56</v>
      </c>
      <c r="Q59" s="26" t="s">
        <v>57</v>
      </c>
      <c r="R59" s="44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4573</v>
      </c>
      <c r="C60" s="41" t="s">
        <v>4574</v>
      </c>
      <c r="D60" s="39" t="s">
        <v>21</v>
      </c>
      <c r="E60" s="43">
        <v>46125</v>
      </c>
      <c r="F60" s="26" t="s">
        <v>55</v>
      </c>
      <c r="G60" s="44" t="s">
        <v>770</v>
      </c>
      <c r="H60" s="26" t="s">
        <v>57</v>
      </c>
      <c r="I60" s="44" t="s">
        <v>770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3">
        <v>46196</v>
      </c>
      <c r="O60" s="26" t="s">
        <v>55</v>
      </c>
      <c r="P60" s="44" t="s">
        <v>770</v>
      </c>
      <c r="Q60" s="26" t="s">
        <v>57</v>
      </c>
      <c r="R60" s="44" t="s">
        <v>770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4575</v>
      </c>
      <c r="C61" s="25" t="s">
        <v>4576</v>
      </c>
      <c r="D61" s="23" t="s">
        <v>21</v>
      </c>
      <c r="E61" s="43">
        <v>46125</v>
      </c>
      <c r="F61" s="26" t="s">
        <v>55</v>
      </c>
      <c r="G61" s="44" t="s">
        <v>770</v>
      </c>
      <c r="H61" s="26" t="s">
        <v>57</v>
      </c>
      <c r="I61" s="44" t="s">
        <v>770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3">
        <v>46196</v>
      </c>
      <c r="O61" s="26" t="s">
        <v>55</v>
      </c>
      <c r="P61" s="44" t="s">
        <v>770</v>
      </c>
      <c r="Q61" s="26" t="s">
        <v>57</v>
      </c>
      <c r="R61" s="44" t="s">
        <v>770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4577</v>
      </c>
      <c r="C62" s="41" t="s">
        <v>4578</v>
      </c>
      <c r="D62" s="39" t="s">
        <v>21</v>
      </c>
      <c r="E62" s="43">
        <v>46125</v>
      </c>
      <c r="F62" s="26" t="s">
        <v>55</v>
      </c>
      <c r="G62" s="44" t="s">
        <v>770</v>
      </c>
      <c r="H62" s="26" t="s">
        <v>57</v>
      </c>
      <c r="I62" s="44" t="s">
        <v>770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3">
        <v>46196</v>
      </c>
      <c r="O62" s="26" t="s">
        <v>55</v>
      </c>
      <c r="P62" s="44" t="s">
        <v>770</v>
      </c>
      <c r="Q62" s="26" t="s">
        <v>57</v>
      </c>
      <c r="R62" s="44" t="s">
        <v>770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4579</v>
      </c>
      <c r="C63" s="25" t="s">
        <v>4580</v>
      </c>
      <c r="D63" s="23" t="s">
        <v>21</v>
      </c>
      <c r="E63" s="43">
        <v>46125</v>
      </c>
      <c r="F63" s="26" t="s">
        <v>55</v>
      </c>
      <c r="G63" s="44" t="s">
        <v>770</v>
      </c>
      <c r="H63" s="26" t="s">
        <v>57</v>
      </c>
      <c r="I63" s="44" t="s">
        <v>770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3">
        <v>46196</v>
      </c>
      <c r="O63" s="26" t="s">
        <v>55</v>
      </c>
      <c r="P63" s="44" t="s">
        <v>770</v>
      </c>
      <c r="Q63" s="26" t="s">
        <v>57</v>
      </c>
      <c r="R63" s="44" t="s">
        <v>770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4581</v>
      </c>
      <c r="C64" s="41" t="s">
        <v>4582</v>
      </c>
      <c r="D64" s="39" t="s">
        <v>21</v>
      </c>
      <c r="E64" s="43">
        <v>46125</v>
      </c>
      <c r="F64" s="26" t="s">
        <v>55</v>
      </c>
      <c r="G64" s="44" t="s">
        <v>770</v>
      </c>
      <c r="H64" s="26" t="s">
        <v>57</v>
      </c>
      <c r="I64" s="44" t="s">
        <v>770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3">
        <v>46196</v>
      </c>
      <c r="O64" s="26" t="s">
        <v>55</v>
      </c>
      <c r="P64" s="44" t="s">
        <v>770</v>
      </c>
      <c r="Q64" s="26" t="s">
        <v>57</v>
      </c>
      <c r="R64" s="44" t="s">
        <v>770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4583</v>
      </c>
      <c r="C65" s="25" t="s">
        <v>4584</v>
      </c>
      <c r="D65" s="23" t="s">
        <v>21</v>
      </c>
      <c r="E65" s="43">
        <v>46125</v>
      </c>
      <c r="F65" s="26" t="s">
        <v>55</v>
      </c>
      <c r="G65" s="44" t="s">
        <v>770</v>
      </c>
      <c r="H65" s="26" t="s">
        <v>57</v>
      </c>
      <c r="I65" s="44" t="s">
        <v>770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3">
        <v>46196</v>
      </c>
      <c r="O65" s="26" t="s">
        <v>55</v>
      </c>
      <c r="P65" s="44" t="s">
        <v>770</v>
      </c>
      <c r="Q65" s="26" t="s">
        <v>57</v>
      </c>
      <c r="R65" s="44" t="s">
        <v>770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4585</v>
      </c>
      <c r="C66" s="41" t="s">
        <v>4586</v>
      </c>
      <c r="D66" s="39" t="s">
        <v>21</v>
      </c>
      <c r="E66" s="43">
        <v>46125</v>
      </c>
      <c r="F66" s="26" t="s">
        <v>55</v>
      </c>
      <c r="G66" s="44" t="s">
        <v>770</v>
      </c>
      <c r="H66" s="26" t="s">
        <v>57</v>
      </c>
      <c r="I66" s="44" t="s">
        <v>770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3">
        <v>46196</v>
      </c>
      <c r="O66" s="26" t="s">
        <v>55</v>
      </c>
      <c r="P66" s="44" t="s">
        <v>770</v>
      </c>
      <c r="Q66" s="26" t="s">
        <v>57</v>
      </c>
      <c r="R66" s="44" t="s">
        <v>770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4587</v>
      </c>
      <c r="C67" s="25" t="s">
        <v>4588</v>
      </c>
      <c r="D67" s="23" t="s">
        <v>21</v>
      </c>
      <c r="E67" s="43">
        <v>46125</v>
      </c>
      <c r="F67" s="26" t="s">
        <v>55</v>
      </c>
      <c r="G67" s="44" t="s">
        <v>770</v>
      </c>
      <c r="H67" s="26" t="s">
        <v>57</v>
      </c>
      <c r="I67" s="44" t="s">
        <v>770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3">
        <v>46196</v>
      </c>
      <c r="O67" s="26" t="s">
        <v>55</v>
      </c>
      <c r="P67" s="44" t="s">
        <v>770</v>
      </c>
      <c r="Q67" s="26" t="s">
        <v>57</v>
      </c>
      <c r="R67" s="44" t="s">
        <v>770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4589</v>
      </c>
      <c r="C68" s="41" t="s">
        <v>4590</v>
      </c>
      <c r="D68" s="39" t="s">
        <v>21</v>
      </c>
      <c r="E68" s="43">
        <v>46125</v>
      </c>
      <c r="F68" s="26" t="s">
        <v>55</v>
      </c>
      <c r="G68" s="44" t="s">
        <v>770</v>
      </c>
      <c r="H68" s="26" t="s">
        <v>57</v>
      </c>
      <c r="I68" s="44" t="s">
        <v>770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3">
        <v>46196</v>
      </c>
      <c r="O68" s="26" t="s">
        <v>55</v>
      </c>
      <c r="P68" s="44" t="s">
        <v>770</v>
      </c>
      <c r="Q68" s="26" t="s">
        <v>57</v>
      </c>
      <c r="R68" s="44" t="s">
        <v>770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4591</v>
      </c>
      <c r="C69" s="25" t="s">
        <v>4592</v>
      </c>
      <c r="D69" s="23" t="s">
        <v>21</v>
      </c>
      <c r="E69" s="43">
        <v>46125</v>
      </c>
      <c r="F69" s="26" t="s">
        <v>55</v>
      </c>
      <c r="G69" s="44" t="s">
        <v>770</v>
      </c>
      <c r="H69" s="26" t="s">
        <v>57</v>
      </c>
      <c r="I69" s="44" t="s">
        <v>770</v>
      </c>
      <c r="J69" s="26" t="s">
        <v>56</v>
      </c>
      <c r="K69" s="27"/>
      <c r="L69" s="28" t="s">
        <v>57</v>
      </c>
      <c r="M69" s="29" t="str">
        <f t="shared" ref="M69:M80" si="9">IF(E69="","",IF(H69="Yes","❌ Disc",IF(G69="No","⚠ Missing",IF(J69="Yes","✓ OK","⚠ Check"))))</f>
        <v>✓ OK</v>
      </c>
      <c r="N69" s="43">
        <v>46196</v>
      </c>
      <c r="O69" s="26" t="s">
        <v>55</v>
      </c>
      <c r="P69" s="44" t="s">
        <v>770</v>
      </c>
      <c r="Q69" s="26" t="s">
        <v>57</v>
      </c>
      <c r="R69" s="44" t="s">
        <v>770</v>
      </c>
      <c r="S69" s="26" t="s">
        <v>56</v>
      </c>
      <c r="T69" s="27"/>
      <c r="U69" s="28" t="s">
        <v>57</v>
      </c>
      <c r="V69" s="29" t="str">
        <f t="shared" ref="V69:V80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4593</v>
      </c>
      <c r="C70" s="41" t="s">
        <v>4594</v>
      </c>
      <c r="D70" s="39" t="s">
        <v>21</v>
      </c>
      <c r="E70" s="43">
        <v>46125</v>
      </c>
      <c r="F70" s="26" t="s">
        <v>55</v>
      </c>
      <c r="G70" s="44" t="s">
        <v>770</v>
      </c>
      <c r="H70" s="26" t="s">
        <v>57</v>
      </c>
      <c r="I70" s="44" t="s">
        <v>770</v>
      </c>
      <c r="J70" s="26" t="s">
        <v>56</v>
      </c>
      <c r="K70" s="27"/>
      <c r="L70" s="28" t="s">
        <v>57</v>
      </c>
      <c r="M70" s="29" t="str">
        <f t="shared" si="9"/>
        <v>✓ OK</v>
      </c>
      <c r="N70" s="43">
        <v>46196</v>
      </c>
      <c r="O70" s="26" t="s">
        <v>55</v>
      </c>
      <c r="P70" s="44" t="s">
        <v>770</v>
      </c>
      <c r="Q70" s="26" t="s">
        <v>57</v>
      </c>
      <c r="R70" s="44" t="s">
        <v>770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4595</v>
      </c>
      <c r="C71" s="25" t="s">
        <v>4596</v>
      </c>
      <c r="D71" s="23" t="s">
        <v>21</v>
      </c>
      <c r="E71" s="43">
        <v>46125</v>
      </c>
      <c r="F71" s="26" t="s">
        <v>55</v>
      </c>
      <c r="G71" s="44" t="s">
        <v>770</v>
      </c>
      <c r="H71" s="26" t="s">
        <v>57</v>
      </c>
      <c r="I71" s="44" t="s">
        <v>770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3">
        <v>46196</v>
      </c>
      <c r="O71" s="26" t="s">
        <v>55</v>
      </c>
      <c r="P71" s="44" t="s">
        <v>770</v>
      </c>
      <c r="Q71" s="26" t="s">
        <v>57</v>
      </c>
      <c r="R71" s="44" t="s">
        <v>770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4597</v>
      </c>
      <c r="C72" s="41" t="s">
        <v>4598</v>
      </c>
      <c r="D72" s="39" t="s">
        <v>21</v>
      </c>
      <c r="E72" s="43">
        <v>46125</v>
      </c>
      <c r="F72" s="26" t="s">
        <v>55</v>
      </c>
      <c r="G72" s="44" t="s">
        <v>56</v>
      </c>
      <c r="H72" s="26" t="s">
        <v>57</v>
      </c>
      <c r="I72" s="44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43">
        <v>46196</v>
      </c>
      <c r="O72" s="26" t="s">
        <v>55</v>
      </c>
      <c r="P72" s="44" t="s">
        <v>56</v>
      </c>
      <c r="Q72" s="26" t="s">
        <v>57</v>
      </c>
      <c r="R72" s="44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4599</v>
      </c>
      <c r="C73" s="25" t="s">
        <v>4600</v>
      </c>
      <c r="D73" s="23" t="s">
        <v>21</v>
      </c>
      <c r="E73" s="43">
        <v>46125</v>
      </c>
      <c r="F73" s="26" t="s">
        <v>55</v>
      </c>
      <c r="G73" s="44" t="s">
        <v>770</v>
      </c>
      <c r="H73" s="26" t="s">
        <v>57</v>
      </c>
      <c r="I73" s="44" t="s">
        <v>770</v>
      </c>
      <c r="J73" s="26" t="s">
        <v>56</v>
      </c>
      <c r="K73" s="27"/>
      <c r="L73" s="28" t="s">
        <v>57</v>
      </c>
      <c r="M73" s="29" t="str">
        <f t="shared" si="9"/>
        <v>✓ OK</v>
      </c>
      <c r="N73" s="43">
        <v>46196</v>
      </c>
      <c r="O73" s="26" t="s">
        <v>55</v>
      </c>
      <c r="P73" s="44" t="s">
        <v>770</v>
      </c>
      <c r="Q73" s="26" t="s">
        <v>57</v>
      </c>
      <c r="R73" s="44" t="s">
        <v>770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4601</v>
      </c>
      <c r="C74" s="41" t="s">
        <v>4602</v>
      </c>
      <c r="D74" s="39" t="s">
        <v>21</v>
      </c>
      <c r="E74" s="43">
        <v>46125</v>
      </c>
      <c r="F74" s="26" t="s">
        <v>55</v>
      </c>
      <c r="G74" s="44" t="s">
        <v>770</v>
      </c>
      <c r="H74" s="26" t="s">
        <v>57</v>
      </c>
      <c r="I74" s="44" t="s">
        <v>770</v>
      </c>
      <c r="J74" s="26" t="s">
        <v>56</v>
      </c>
      <c r="K74" s="27"/>
      <c r="L74" s="28" t="s">
        <v>57</v>
      </c>
      <c r="M74" s="29" t="str">
        <f t="shared" si="9"/>
        <v>✓ OK</v>
      </c>
      <c r="N74" s="43">
        <v>46196</v>
      </c>
      <c r="O74" s="26" t="s">
        <v>55</v>
      </c>
      <c r="P74" s="44" t="s">
        <v>770</v>
      </c>
      <c r="Q74" s="26" t="s">
        <v>57</v>
      </c>
      <c r="R74" s="44" t="s">
        <v>770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4603</v>
      </c>
      <c r="C75" s="25" t="s">
        <v>4604</v>
      </c>
      <c r="D75" s="23" t="s">
        <v>21</v>
      </c>
      <c r="E75" s="43">
        <v>46125</v>
      </c>
      <c r="F75" s="26" t="s">
        <v>55</v>
      </c>
      <c r="G75" s="44" t="s">
        <v>770</v>
      </c>
      <c r="H75" s="26" t="s">
        <v>57</v>
      </c>
      <c r="I75" s="44" t="s">
        <v>770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3">
        <v>46196</v>
      </c>
      <c r="O75" s="26" t="s">
        <v>55</v>
      </c>
      <c r="P75" s="44" t="s">
        <v>770</v>
      </c>
      <c r="Q75" s="26" t="s">
        <v>57</v>
      </c>
      <c r="R75" s="44" t="s">
        <v>770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4605</v>
      </c>
      <c r="C76" s="41" t="s">
        <v>4606</v>
      </c>
      <c r="D76" s="39" t="s">
        <v>21</v>
      </c>
      <c r="E76" s="43">
        <v>46125</v>
      </c>
      <c r="F76" s="26" t="s">
        <v>55</v>
      </c>
      <c r="G76" s="44" t="s">
        <v>770</v>
      </c>
      <c r="H76" s="26" t="s">
        <v>57</v>
      </c>
      <c r="I76" s="44" t="s">
        <v>770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3">
        <v>46196</v>
      </c>
      <c r="O76" s="26" t="s">
        <v>55</v>
      </c>
      <c r="P76" s="44" t="s">
        <v>770</v>
      </c>
      <c r="Q76" s="26" t="s">
        <v>57</v>
      </c>
      <c r="R76" s="44" t="s">
        <v>770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4607</v>
      </c>
      <c r="C77" s="25" t="s">
        <v>4608</v>
      </c>
      <c r="D77" s="23" t="s">
        <v>21</v>
      </c>
      <c r="E77" s="43">
        <v>46125</v>
      </c>
      <c r="F77" s="26" t="s">
        <v>55</v>
      </c>
      <c r="G77" s="44" t="s">
        <v>770</v>
      </c>
      <c r="H77" s="26" t="s">
        <v>57</v>
      </c>
      <c r="I77" s="44" t="s">
        <v>770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3">
        <v>46196</v>
      </c>
      <c r="O77" s="26" t="s">
        <v>55</v>
      </c>
      <c r="P77" s="44" t="s">
        <v>770</v>
      </c>
      <c r="Q77" s="26" t="s">
        <v>57</v>
      </c>
      <c r="R77" s="44" t="s">
        <v>770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4609</v>
      </c>
      <c r="C78" s="41" t="s">
        <v>4610</v>
      </c>
      <c r="D78" s="39" t="s">
        <v>21</v>
      </c>
      <c r="E78" s="43">
        <v>46125</v>
      </c>
      <c r="F78" s="26" t="s">
        <v>55</v>
      </c>
      <c r="G78" s="44" t="s">
        <v>770</v>
      </c>
      <c r="H78" s="26" t="s">
        <v>57</v>
      </c>
      <c r="I78" s="44" t="s">
        <v>770</v>
      </c>
      <c r="J78" s="26" t="s">
        <v>56</v>
      </c>
      <c r="K78" s="27"/>
      <c r="L78" s="28" t="s">
        <v>57</v>
      </c>
      <c r="M78" s="29" t="str">
        <f t="shared" si="9"/>
        <v>✓ OK</v>
      </c>
      <c r="N78" s="43">
        <v>46196</v>
      </c>
      <c r="O78" s="26" t="s">
        <v>55</v>
      </c>
      <c r="P78" s="44" t="s">
        <v>770</v>
      </c>
      <c r="Q78" s="26" t="s">
        <v>57</v>
      </c>
      <c r="R78" s="44" t="s">
        <v>770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4611</v>
      </c>
      <c r="C79" s="25" t="s">
        <v>4612</v>
      </c>
      <c r="D79" s="23" t="s">
        <v>21</v>
      </c>
      <c r="E79" s="43">
        <v>46125</v>
      </c>
      <c r="F79" s="26" t="s">
        <v>55</v>
      </c>
      <c r="G79" s="44" t="s">
        <v>770</v>
      </c>
      <c r="H79" s="26" t="s">
        <v>57</v>
      </c>
      <c r="I79" s="44" t="s">
        <v>770</v>
      </c>
      <c r="J79" s="26" t="s">
        <v>56</v>
      </c>
      <c r="K79" s="27"/>
      <c r="L79" s="28" t="s">
        <v>57</v>
      </c>
      <c r="M79" s="29" t="str">
        <f t="shared" si="9"/>
        <v>✓ OK</v>
      </c>
      <c r="N79" s="43">
        <v>46196</v>
      </c>
      <c r="O79" s="26" t="s">
        <v>55</v>
      </c>
      <c r="P79" s="44" t="s">
        <v>770</v>
      </c>
      <c r="Q79" s="26" t="s">
        <v>57</v>
      </c>
      <c r="R79" s="44" t="s">
        <v>770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4613</v>
      </c>
      <c r="C80" s="41" t="s">
        <v>4614</v>
      </c>
      <c r="D80" s="39" t="s">
        <v>21</v>
      </c>
      <c r="E80" s="43">
        <v>46125</v>
      </c>
      <c r="F80" s="26" t="s">
        <v>55</v>
      </c>
      <c r="G80" s="44" t="s">
        <v>770</v>
      </c>
      <c r="H80" s="26" t="s">
        <v>57</v>
      </c>
      <c r="I80" s="44" t="s">
        <v>770</v>
      </c>
      <c r="J80" s="26" t="s">
        <v>56</v>
      </c>
      <c r="K80" s="27"/>
      <c r="L80" s="28" t="s">
        <v>57</v>
      </c>
      <c r="M80" s="29" t="str">
        <f t="shared" si="9"/>
        <v>✓ OK</v>
      </c>
      <c r="N80" s="43">
        <v>46196</v>
      </c>
      <c r="O80" s="26" t="s">
        <v>55</v>
      </c>
      <c r="P80" s="44" t="s">
        <v>770</v>
      </c>
      <c r="Q80" s="26" t="s">
        <v>57</v>
      </c>
      <c r="R80" s="44" t="s">
        <v>770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297" priority="14">
      <formula>G5="Yes"</formula>
    </cfRule>
    <cfRule type="expression" dxfId="296" priority="15">
      <formula>G5="No"</formula>
    </cfRule>
    <cfRule type="expression" dxfId="295" priority="16">
      <formula>MOD(ROW(),2)=0</formula>
    </cfRule>
  </conditionalFormatting>
  <conditionalFormatting sqref="H5:H80">
    <cfRule type="expression" dxfId="294" priority="23">
      <formula>H5="Yes"</formula>
    </cfRule>
  </conditionalFormatting>
  <conditionalFormatting sqref="I5:I80">
    <cfRule type="expression" dxfId="293" priority="13">
      <formula>MOD(ROW(),2)=0</formula>
    </cfRule>
  </conditionalFormatting>
  <conditionalFormatting sqref="J5:J80">
    <cfRule type="expression" dxfId="292" priority="24">
      <formula>J5="Yes"</formula>
    </cfRule>
    <cfRule type="expression" dxfId="291" priority="25">
      <formula>J5="No"</formula>
    </cfRule>
  </conditionalFormatting>
  <conditionalFormatting sqref="H5:H80 A5:F80 S5:AW80 Q5:Q80 J5:M80 O5:O80">
    <cfRule type="expression" dxfId="290" priority="62">
      <formula>MOD(ROW(),2)=0</formula>
    </cfRule>
  </conditionalFormatting>
  <conditionalFormatting sqref="M5:M80">
    <cfRule type="expression" dxfId="289" priority="17">
      <formula>M5="✓ OK"</formula>
    </cfRule>
    <cfRule type="expression" dxfId="288" priority="18">
      <formula>M5="❌ Disc"</formula>
    </cfRule>
    <cfRule type="expression" dxfId="287" priority="19">
      <formula>M5="⚠ Missing"</formula>
    </cfRule>
    <cfRule type="expression" dxfId="286" priority="20">
      <formula>M5="⚠ Check"</formula>
    </cfRule>
  </conditionalFormatting>
  <conditionalFormatting sqref="Y5:Y80">
    <cfRule type="expression" dxfId="276" priority="40">
      <formula>Y5="No"</formula>
    </cfRule>
    <cfRule type="expression" dxfId="275" priority="39">
      <formula>Y5="Yes"</formula>
    </cfRule>
  </conditionalFormatting>
  <conditionalFormatting sqref="Z5:Z80">
    <cfRule type="expression" dxfId="274" priority="41">
      <formula>Z5="Yes"</formula>
    </cfRule>
  </conditionalFormatting>
  <conditionalFormatting sqref="AB5:AB80">
    <cfRule type="expression" dxfId="273" priority="42">
      <formula>AB5="Yes"</formula>
    </cfRule>
    <cfRule type="expression" dxfId="272" priority="43">
      <formula>AB5="No"</formula>
    </cfRule>
  </conditionalFormatting>
  <conditionalFormatting sqref="AE5:AE80">
    <cfRule type="expression" dxfId="271" priority="35">
      <formula>AE5="✓ OK"</formula>
    </cfRule>
    <cfRule type="expression" dxfId="270" priority="36">
      <formula>AE5="❌ Disc"</formula>
    </cfRule>
    <cfRule type="expression" dxfId="269" priority="37">
      <formula>AE5="⚠ Missing"</formula>
    </cfRule>
    <cfRule type="expression" dxfId="268" priority="38">
      <formula>AE5="⚠ Check"</formula>
    </cfRule>
  </conditionalFormatting>
  <conditionalFormatting sqref="AH5:AH80">
    <cfRule type="expression" dxfId="267" priority="48">
      <formula>AH5="Yes"</formula>
    </cfRule>
    <cfRule type="expression" dxfId="266" priority="49">
      <formula>AH5="No"</formula>
    </cfRule>
  </conditionalFormatting>
  <conditionalFormatting sqref="AI5:AI80">
    <cfRule type="expression" dxfId="265" priority="50">
      <formula>AI5="Yes"</formula>
    </cfRule>
  </conditionalFormatting>
  <conditionalFormatting sqref="AK5:AK80">
    <cfRule type="expression" dxfId="264" priority="51">
      <formula>AK5="Yes"</formula>
    </cfRule>
    <cfRule type="expression" dxfId="263" priority="52">
      <formula>AK5="No"</formula>
    </cfRule>
  </conditionalFormatting>
  <conditionalFormatting sqref="AN5:AN80">
    <cfRule type="expression" dxfId="262" priority="44">
      <formula>AN5="✓ OK"</formula>
    </cfRule>
    <cfRule type="expression" dxfId="261" priority="45">
      <formula>AN5="❌ Disc"</formula>
    </cfRule>
    <cfRule type="expression" dxfId="260" priority="46">
      <formula>AN5="⚠ Missing"</formula>
    </cfRule>
    <cfRule type="expression" dxfId="259" priority="47">
      <formula>AN5="⚠ Check"</formula>
    </cfRule>
  </conditionalFormatting>
  <conditionalFormatting sqref="AQ5:AQ80">
    <cfRule type="expression" dxfId="258" priority="57">
      <formula>AQ5="Yes"</formula>
    </cfRule>
    <cfRule type="expression" dxfId="257" priority="58">
      <formula>AQ5="No"</formula>
    </cfRule>
  </conditionalFormatting>
  <conditionalFormatting sqref="AR5:AR80">
    <cfRule type="expression" dxfId="256" priority="59">
      <formula>AR5="Yes"</formula>
    </cfRule>
  </conditionalFormatting>
  <conditionalFormatting sqref="AT5:AT80">
    <cfRule type="expression" dxfId="255" priority="60">
      <formula>AT5="Yes"</formula>
    </cfRule>
    <cfRule type="expression" dxfId="254" priority="61">
      <formula>AT5="No"</formula>
    </cfRule>
  </conditionalFormatting>
  <conditionalFormatting sqref="AW5:AW80">
    <cfRule type="expression" dxfId="253" priority="53">
      <formula>AW5="✓ OK"</formula>
    </cfRule>
    <cfRule type="expression" dxfId="252" priority="54">
      <formula>AW5="❌ Disc"</formula>
    </cfRule>
    <cfRule type="expression" dxfId="251" priority="55">
      <formula>AW5="⚠ Missing"</formula>
    </cfRule>
    <cfRule type="expression" dxfId="250" priority="56">
      <formula>AW5="⚠ Check"</formula>
    </cfRule>
  </conditionalFormatting>
  <conditionalFormatting sqref="P5:P80">
    <cfRule type="expression" dxfId="34" priority="3">
      <formula>P5="Yes"</formula>
    </cfRule>
    <cfRule type="expression" dxfId="33" priority="4">
      <formula>P5="No"</formula>
    </cfRule>
    <cfRule type="expression" dxfId="32" priority="5">
      <formula>MOD(ROW(),2)=0</formula>
    </cfRule>
  </conditionalFormatting>
  <conditionalFormatting sqref="Q5:Q80">
    <cfRule type="expression" dxfId="31" priority="10">
      <formula>Q5="Yes"</formula>
    </cfRule>
  </conditionalFormatting>
  <conditionalFormatting sqref="R5:R80">
    <cfRule type="expression" dxfId="30" priority="2">
      <formula>MOD(ROW(),2)=0</formula>
    </cfRule>
  </conditionalFormatting>
  <conditionalFormatting sqref="S5:S80">
    <cfRule type="expression" dxfId="29" priority="11">
      <formula>S5="Yes"</formula>
    </cfRule>
    <cfRule type="expression" dxfId="28" priority="12">
      <formula>S5="No"</formula>
    </cfRule>
  </conditionalFormatting>
  <conditionalFormatting sqref="V5:V80">
    <cfRule type="expression" dxfId="27" priority="6">
      <formula>V5="✓ OK"</formula>
    </cfRule>
    <cfRule type="expression" dxfId="26" priority="7">
      <formula>V5="❌ Disc"</formula>
    </cfRule>
    <cfRule type="expression" dxfId="25" priority="8">
      <formula>V5="⚠ Missing"</formula>
    </cfRule>
    <cfRule type="expression" dxfId="24" priority="9">
      <formula>V5="⚠ Check"</formula>
    </cfRule>
  </conditionalFormatting>
  <conditionalFormatting sqref="N5:N80">
    <cfRule type="expression" dxfId="23" priority="1">
      <formula>MOD(ROW(),2)=0</formula>
    </cfRule>
  </conditionalFormatting>
  <dataValidations count="4">
    <dataValidation type="list" allowBlank="1" sqref="AT5:AT80 AQ5:AR80 AK5:AK80 AH5:AI80 AB5:AB80 Y5:Z80 H5:H80 J5:J80 Q5:Q80 S5:S80" xr:uid="{00000000-0002-0000-0A00-000000000000}">
      <formula1>"Yes,No"</formula1>
    </dataValidation>
    <dataValidation type="list" allowBlank="1" sqref="AA5:AA80 AS5:AS80 AJ5:AJ80" xr:uid="{00000000-0002-0000-0A00-000003000000}">
      <formula1>"Good finish,Minor defect,Major defect,Discontinued,Not Available"</formula1>
    </dataValidation>
    <dataValidation type="list" allowBlank="1" sqref="G5:G80 P5:P80" xr:uid="{7CB18CE8-C4FA-44E9-BA08-9EF694BF4A35}">
      <formula1>"Yes,No,Represented by Sample"</formula1>
    </dataValidation>
    <dataValidation type="list" allowBlank="1" sqref="I5:I80 R5:R80" xr:uid="{EC4EA40F-9050-4934-87A1-CFC61F1E9A68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M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4615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4616</v>
      </c>
      <c r="C5" s="25" t="s">
        <v>4617</v>
      </c>
      <c r="D5" s="23" t="s">
        <v>4618</v>
      </c>
      <c r="E5" s="43">
        <v>46125</v>
      </c>
      <c r="F5" s="26" t="s">
        <v>55</v>
      </c>
      <c r="G5" s="44" t="s">
        <v>56</v>
      </c>
      <c r="H5" s="26" t="s">
        <v>57</v>
      </c>
      <c r="I5" s="44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3">
        <v>46196</v>
      </c>
      <c r="O5" s="26" t="s">
        <v>55</v>
      </c>
      <c r="P5" s="44" t="s">
        <v>56</v>
      </c>
      <c r="Q5" s="26" t="s">
        <v>57</v>
      </c>
      <c r="R5" s="44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4619</v>
      </c>
      <c r="C6" s="41" t="s">
        <v>4620</v>
      </c>
      <c r="D6" s="39" t="s">
        <v>4618</v>
      </c>
      <c r="E6" s="43">
        <v>46125</v>
      </c>
      <c r="F6" s="26" t="s">
        <v>55</v>
      </c>
      <c r="G6" s="44" t="s">
        <v>770</v>
      </c>
      <c r="H6" s="26" t="s">
        <v>57</v>
      </c>
      <c r="I6" s="44" t="s">
        <v>770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46196</v>
      </c>
      <c r="O6" s="26" t="s">
        <v>55</v>
      </c>
      <c r="P6" s="44" t="s">
        <v>770</v>
      </c>
      <c r="Q6" s="26" t="s">
        <v>57</v>
      </c>
      <c r="R6" s="44" t="s">
        <v>770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4621</v>
      </c>
      <c r="C7" s="25" t="s">
        <v>4622</v>
      </c>
      <c r="D7" s="23" t="s">
        <v>4618</v>
      </c>
      <c r="E7" s="43">
        <v>46125</v>
      </c>
      <c r="F7" s="26" t="s">
        <v>55</v>
      </c>
      <c r="G7" s="44" t="s">
        <v>770</v>
      </c>
      <c r="H7" s="26" t="s">
        <v>57</v>
      </c>
      <c r="I7" s="44" t="s">
        <v>770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46196</v>
      </c>
      <c r="O7" s="26" t="s">
        <v>55</v>
      </c>
      <c r="P7" s="44" t="s">
        <v>770</v>
      </c>
      <c r="Q7" s="26" t="s">
        <v>57</v>
      </c>
      <c r="R7" s="44" t="s">
        <v>770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4623</v>
      </c>
      <c r="C8" s="41" t="s">
        <v>4624</v>
      </c>
      <c r="D8" s="39" t="s">
        <v>4618</v>
      </c>
      <c r="E8" s="43">
        <v>46125</v>
      </c>
      <c r="F8" s="26" t="s">
        <v>55</v>
      </c>
      <c r="G8" s="44" t="s">
        <v>56</v>
      </c>
      <c r="H8" s="26" t="s">
        <v>57</v>
      </c>
      <c r="I8" s="44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46196</v>
      </c>
      <c r="O8" s="26" t="s">
        <v>55</v>
      </c>
      <c r="P8" s="44" t="s">
        <v>56</v>
      </c>
      <c r="Q8" s="26" t="s">
        <v>57</v>
      </c>
      <c r="R8" s="44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4625</v>
      </c>
      <c r="C9" s="25" t="s">
        <v>4626</v>
      </c>
      <c r="D9" s="23" t="s">
        <v>4618</v>
      </c>
      <c r="E9" s="43">
        <v>46125</v>
      </c>
      <c r="F9" s="26" t="s">
        <v>55</v>
      </c>
      <c r="G9" s="44" t="s">
        <v>56</v>
      </c>
      <c r="H9" s="26" t="s">
        <v>57</v>
      </c>
      <c r="I9" s="44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46196</v>
      </c>
      <c r="O9" s="26" t="s">
        <v>55</v>
      </c>
      <c r="P9" s="44" t="s">
        <v>56</v>
      </c>
      <c r="Q9" s="26" t="s">
        <v>57</v>
      </c>
      <c r="R9" s="44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4627</v>
      </c>
      <c r="C10" s="41" t="s">
        <v>4628</v>
      </c>
      <c r="D10" s="39" t="s">
        <v>4618</v>
      </c>
      <c r="E10" s="43">
        <v>46125</v>
      </c>
      <c r="F10" s="26" t="s">
        <v>55</v>
      </c>
      <c r="G10" s="44" t="s">
        <v>770</v>
      </c>
      <c r="H10" s="26" t="s">
        <v>57</v>
      </c>
      <c r="I10" s="44" t="s">
        <v>770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46196</v>
      </c>
      <c r="O10" s="26" t="s">
        <v>55</v>
      </c>
      <c r="P10" s="44" t="s">
        <v>770</v>
      </c>
      <c r="Q10" s="26" t="s">
        <v>57</v>
      </c>
      <c r="R10" s="44" t="s">
        <v>770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4629</v>
      </c>
      <c r="C11" s="25" t="s">
        <v>4630</v>
      </c>
      <c r="D11" s="23" t="s">
        <v>4618</v>
      </c>
      <c r="E11" s="43">
        <v>46125</v>
      </c>
      <c r="F11" s="26" t="s">
        <v>55</v>
      </c>
      <c r="G11" s="44" t="s">
        <v>770</v>
      </c>
      <c r="H11" s="26" t="s">
        <v>57</v>
      </c>
      <c r="I11" s="44" t="s">
        <v>770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46196</v>
      </c>
      <c r="O11" s="26" t="s">
        <v>55</v>
      </c>
      <c r="P11" s="44" t="s">
        <v>770</v>
      </c>
      <c r="Q11" s="26" t="s">
        <v>57</v>
      </c>
      <c r="R11" s="44" t="s">
        <v>770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4631</v>
      </c>
      <c r="C12" s="41" t="s">
        <v>4632</v>
      </c>
      <c r="D12" s="39" t="s">
        <v>4618</v>
      </c>
      <c r="E12" s="43">
        <v>46125</v>
      </c>
      <c r="F12" s="26" t="s">
        <v>55</v>
      </c>
      <c r="G12" s="44" t="s">
        <v>770</v>
      </c>
      <c r="H12" s="26" t="s">
        <v>57</v>
      </c>
      <c r="I12" s="44" t="s">
        <v>770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46196</v>
      </c>
      <c r="O12" s="26" t="s">
        <v>55</v>
      </c>
      <c r="P12" s="44" t="s">
        <v>770</v>
      </c>
      <c r="Q12" s="26" t="s">
        <v>57</v>
      </c>
      <c r="R12" s="44" t="s">
        <v>770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4633</v>
      </c>
      <c r="C13" s="25" t="s">
        <v>4634</v>
      </c>
      <c r="D13" s="23" t="s">
        <v>4618</v>
      </c>
      <c r="E13" s="43">
        <v>46125</v>
      </c>
      <c r="F13" s="26" t="s">
        <v>55</v>
      </c>
      <c r="G13" s="44" t="s">
        <v>770</v>
      </c>
      <c r="H13" s="26" t="s">
        <v>57</v>
      </c>
      <c r="I13" s="44" t="s">
        <v>770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46196</v>
      </c>
      <c r="O13" s="26" t="s">
        <v>55</v>
      </c>
      <c r="P13" s="44" t="s">
        <v>770</v>
      </c>
      <c r="Q13" s="26" t="s">
        <v>57</v>
      </c>
      <c r="R13" s="44" t="s">
        <v>770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4635</v>
      </c>
      <c r="C14" s="41" t="s">
        <v>4636</v>
      </c>
      <c r="D14" s="39" t="s">
        <v>4618</v>
      </c>
      <c r="E14" s="43">
        <v>46125</v>
      </c>
      <c r="F14" s="26" t="s">
        <v>55</v>
      </c>
      <c r="G14" s="44" t="s">
        <v>770</v>
      </c>
      <c r="H14" s="26" t="s">
        <v>57</v>
      </c>
      <c r="I14" s="44" t="s">
        <v>770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46196</v>
      </c>
      <c r="O14" s="26" t="s">
        <v>55</v>
      </c>
      <c r="P14" s="44" t="s">
        <v>770</v>
      </c>
      <c r="Q14" s="26" t="s">
        <v>57</v>
      </c>
      <c r="R14" s="44" t="s">
        <v>770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4637</v>
      </c>
      <c r="C15" s="25" t="s">
        <v>4638</v>
      </c>
      <c r="D15" s="23" t="s">
        <v>4618</v>
      </c>
      <c r="E15" s="43">
        <v>46125</v>
      </c>
      <c r="F15" s="26" t="s">
        <v>55</v>
      </c>
      <c r="G15" s="44" t="s">
        <v>770</v>
      </c>
      <c r="H15" s="26" t="s">
        <v>57</v>
      </c>
      <c r="I15" s="44" t="s">
        <v>770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46196</v>
      </c>
      <c r="O15" s="26" t="s">
        <v>55</v>
      </c>
      <c r="P15" s="44" t="s">
        <v>770</v>
      </c>
      <c r="Q15" s="26" t="s">
        <v>57</v>
      </c>
      <c r="R15" s="44" t="s">
        <v>770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4639</v>
      </c>
      <c r="C16" s="41" t="s">
        <v>4640</v>
      </c>
      <c r="D16" s="39" t="s">
        <v>4618</v>
      </c>
      <c r="E16" s="43">
        <v>46125</v>
      </c>
      <c r="F16" s="26" t="s">
        <v>55</v>
      </c>
      <c r="G16" s="44" t="s">
        <v>770</v>
      </c>
      <c r="H16" s="26" t="s">
        <v>57</v>
      </c>
      <c r="I16" s="44" t="s">
        <v>770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46196</v>
      </c>
      <c r="O16" s="26" t="s">
        <v>55</v>
      </c>
      <c r="P16" s="44" t="s">
        <v>770</v>
      </c>
      <c r="Q16" s="26" t="s">
        <v>57</v>
      </c>
      <c r="R16" s="44" t="s">
        <v>770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4641</v>
      </c>
      <c r="C17" s="25" t="s">
        <v>4642</v>
      </c>
      <c r="D17" s="23" t="s">
        <v>4618</v>
      </c>
      <c r="E17" s="43">
        <v>46125</v>
      </c>
      <c r="F17" s="26" t="s">
        <v>55</v>
      </c>
      <c r="G17" s="44" t="s">
        <v>770</v>
      </c>
      <c r="H17" s="26" t="s">
        <v>57</v>
      </c>
      <c r="I17" s="44" t="s">
        <v>770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46196</v>
      </c>
      <c r="O17" s="26" t="s">
        <v>55</v>
      </c>
      <c r="P17" s="44" t="s">
        <v>770</v>
      </c>
      <c r="Q17" s="26" t="s">
        <v>57</v>
      </c>
      <c r="R17" s="44" t="s">
        <v>770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4643</v>
      </c>
      <c r="C18" s="41" t="s">
        <v>4644</v>
      </c>
      <c r="D18" s="39" t="s">
        <v>4618</v>
      </c>
      <c r="E18" s="43">
        <v>46125</v>
      </c>
      <c r="F18" s="26" t="s">
        <v>55</v>
      </c>
      <c r="G18" s="44" t="s">
        <v>770</v>
      </c>
      <c r="H18" s="26" t="s">
        <v>57</v>
      </c>
      <c r="I18" s="44" t="s">
        <v>770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46196</v>
      </c>
      <c r="O18" s="26" t="s">
        <v>55</v>
      </c>
      <c r="P18" s="44" t="s">
        <v>770</v>
      </c>
      <c r="Q18" s="26" t="s">
        <v>57</v>
      </c>
      <c r="R18" s="44" t="s">
        <v>770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4645</v>
      </c>
      <c r="C19" s="25" t="s">
        <v>4646</v>
      </c>
      <c r="D19" s="23" t="s">
        <v>4618</v>
      </c>
      <c r="E19" s="43">
        <v>46125</v>
      </c>
      <c r="F19" s="26" t="s">
        <v>55</v>
      </c>
      <c r="G19" s="44" t="s">
        <v>56</v>
      </c>
      <c r="H19" s="26" t="s">
        <v>57</v>
      </c>
      <c r="I19" s="44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46196</v>
      </c>
      <c r="O19" s="26" t="s">
        <v>55</v>
      </c>
      <c r="P19" s="44" t="s">
        <v>56</v>
      </c>
      <c r="Q19" s="26" t="s">
        <v>57</v>
      </c>
      <c r="R19" s="44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4647</v>
      </c>
      <c r="C20" s="41" t="s">
        <v>4648</v>
      </c>
      <c r="D20" s="39" t="s">
        <v>4618</v>
      </c>
      <c r="E20" s="43">
        <v>46125</v>
      </c>
      <c r="F20" s="26" t="s">
        <v>55</v>
      </c>
      <c r="G20" s="44" t="s">
        <v>770</v>
      </c>
      <c r="H20" s="26" t="s">
        <v>57</v>
      </c>
      <c r="I20" s="44" t="s">
        <v>770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46196</v>
      </c>
      <c r="O20" s="26" t="s">
        <v>55</v>
      </c>
      <c r="P20" s="44" t="s">
        <v>770</v>
      </c>
      <c r="Q20" s="26" t="s">
        <v>57</v>
      </c>
      <c r="R20" s="44" t="s">
        <v>770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4649</v>
      </c>
      <c r="C21" s="25" t="s">
        <v>4650</v>
      </c>
      <c r="D21" s="23" t="s">
        <v>4618</v>
      </c>
      <c r="E21" s="43">
        <v>46125</v>
      </c>
      <c r="F21" s="26" t="s">
        <v>55</v>
      </c>
      <c r="G21" s="44" t="s">
        <v>770</v>
      </c>
      <c r="H21" s="26" t="s">
        <v>57</v>
      </c>
      <c r="I21" s="44" t="s">
        <v>770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46196</v>
      </c>
      <c r="O21" s="26" t="s">
        <v>55</v>
      </c>
      <c r="P21" s="44" t="s">
        <v>770</v>
      </c>
      <c r="Q21" s="26" t="s">
        <v>57</v>
      </c>
      <c r="R21" s="44" t="s">
        <v>770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4651</v>
      </c>
      <c r="C22" s="41" t="s">
        <v>4652</v>
      </c>
      <c r="D22" s="39" t="s">
        <v>4618</v>
      </c>
      <c r="E22" s="43">
        <v>46125</v>
      </c>
      <c r="F22" s="26" t="s">
        <v>55</v>
      </c>
      <c r="G22" s="44" t="s">
        <v>770</v>
      </c>
      <c r="H22" s="26" t="s">
        <v>57</v>
      </c>
      <c r="I22" s="44" t="s">
        <v>770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46196</v>
      </c>
      <c r="O22" s="26" t="s">
        <v>55</v>
      </c>
      <c r="P22" s="44" t="s">
        <v>770</v>
      </c>
      <c r="Q22" s="26" t="s">
        <v>57</v>
      </c>
      <c r="R22" s="44" t="s">
        <v>770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4653</v>
      </c>
      <c r="C23" s="25" t="s">
        <v>4654</v>
      </c>
      <c r="D23" s="23" t="s">
        <v>4618</v>
      </c>
      <c r="E23" s="43">
        <v>46125</v>
      </c>
      <c r="F23" s="26" t="s">
        <v>55</v>
      </c>
      <c r="G23" s="44" t="s">
        <v>770</v>
      </c>
      <c r="H23" s="26" t="s">
        <v>57</v>
      </c>
      <c r="I23" s="44" t="s">
        <v>770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46196</v>
      </c>
      <c r="O23" s="26" t="s">
        <v>55</v>
      </c>
      <c r="P23" s="44" t="s">
        <v>770</v>
      </c>
      <c r="Q23" s="26" t="s">
        <v>57</v>
      </c>
      <c r="R23" s="44" t="s">
        <v>770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4655</v>
      </c>
      <c r="C24" s="41" t="s">
        <v>4656</v>
      </c>
      <c r="D24" s="39" t="s">
        <v>4618</v>
      </c>
      <c r="E24" s="43">
        <v>46125</v>
      </c>
      <c r="F24" s="26" t="s">
        <v>55</v>
      </c>
      <c r="G24" s="44" t="s">
        <v>770</v>
      </c>
      <c r="H24" s="26" t="s">
        <v>57</v>
      </c>
      <c r="I24" s="44" t="s">
        <v>770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46196</v>
      </c>
      <c r="O24" s="26" t="s">
        <v>55</v>
      </c>
      <c r="P24" s="44" t="s">
        <v>770</v>
      </c>
      <c r="Q24" s="26" t="s">
        <v>57</v>
      </c>
      <c r="R24" s="44" t="s">
        <v>770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4657</v>
      </c>
      <c r="C25" s="25" t="s">
        <v>4658</v>
      </c>
      <c r="D25" s="23" t="s">
        <v>4618</v>
      </c>
      <c r="E25" s="43">
        <v>46125</v>
      </c>
      <c r="F25" s="26" t="s">
        <v>55</v>
      </c>
      <c r="G25" s="44" t="s">
        <v>770</v>
      </c>
      <c r="H25" s="26" t="s">
        <v>57</v>
      </c>
      <c r="I25" s="44" t="s">
        <v>770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46196</v>
      </c>
      <c r="O25" s="26" t="s">
        <v>55</v>
      </c>
      <c r="P25" s="44" t="s">
        <v>770</v>
      </c>
      <c r="Q25" s="26" t="s">
        <v>57</v>
      </c>
      <c r="R25" s="44" t="s">
        <v>770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4659</v>
      </c>
      <c r="C26" s="41" t="s">
        <v>4660</v>
      </c>
      <c r="D26" s="39" t="s">
        <v>4618</v>
      </c>
      <c r="E26" s="43">
        <v>46125</v>
      </c>
      <c r="F26" s="26" t="s">
        <v>55</v>
      </c>
      <c r="G26" s="44" t="s">
        <v>770</v>
      </c>
      <c r="H26" s="26" t="s">
        <v>57</v>
      </c>
      <c r="I26" s="44" t="s">
        <v>770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46196</v>
      </c>
      <c r="O26" s="26" t="s">
        <v>55</v>
      </c>
      <c r="P26" s="44" t="s">
        <v>770</v>
      </c>
      <c r="Q26" s="26" t="s">
        <v>57</v>
      </c>
      <c r="R26" s="44" t="s">
        <v>770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4661</v>
      </c>
      <c r="C27" s="25" t="s">
        <v>4662</v>
      </c>
      <c r="D27" s="23" t="s">
        <v>4618</v>
      </c>
      <c r="E27" s="43">
        <v>46125</v>
      </c>
      <c r="F27" s="26" t="s">
        <v>55</v>
      </c>
      <c r="G27" s="44" t="s">
        <v>770</v>
      </c>
      <c r="H27" s="26" t="s">
        <v>57</v>
      </c>
      <c r="I27" s="44" t="s">
        <v>770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46196</v>
      </c>
      <c r="O27" s="26" t="s">
        <v>55</v>
      </c>
      <c r="P27" s="44" t="s">
        <v>770</v>
      </c>
      <c r="Q27" s="26" t="s">
        <v>57</v>
      </c>
      <c r="R27" s="44" t="s">
        <v>770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4663</v>
      </c>
      <c r="C28" s="41" t="s">
        <v>4664</v>
      </c>
      <c r="D28" s="39" t="s">
        <v>4618</v>
      </c>
      <c r="E28" s="43">
        <v>46125</v>
      </c>
      <c r="F28" s="26" t="s">
        <v>55</v>
      </c>
      <c r="G28" s="44" t="s">
        <v>770</v>
      </c>
      <c r="H28" s="26" t="s">
        <v>57</v>
      </c>
      <c r="I28" s="44" t="s">
        <v>770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46196</v>
      </c>
      <c r="O28" s="26" t="s">
        <v>55</v>
      </c>
      <c r="P28" s="44" t="s">
        <v>770</v>
      </c>
      <c r="Q28" s="26" t="s">
        <v>57</v>
      </c>
      <c r="R28" s="44" t="s">
        <v>770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4665</v>
      </c>
      <c r="C29" s="25" t="s">
        <v>4666</v>
      </c>
      <c r="D29" s="23" t="s">
        <v>4618</v>
      </c>
      <c r="E29" s="43">
        <v>46125</v>
      </c>
      <c r="F29" s="26" t="s">
        <v>55</v>
      </c>
      <c r="G29" s="44" t="s">
        <v>770</v>
      </c>
      <c r="H29" s="26" t="s">
        <v>57</v>
      </c>
      <c r="I29" s="44" t="s">
        <v>770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46196</v>
      </c>
      <c r="O29" s="26" t="s">
        <v>55</v>
      </c>
      <c r="P29" s="44" t="s">
        <v>770</v>
      </c>
      <c r="Q29" s="26" t="s">
        <v>57</v>
      </c>
      <c r="R29" s="44" t="s">
        <v>770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4667</v>
      </c>
      <c r="C30" s="41" t="s">
        <v>4668</v>
      </c>
      <c r="D30" s="39" t="s">
        <v>4618</v>
      </c>
      <c r="E30" s="43">
        <v>46125</v>
      </c>
      <c r="F30" s="26" t="s">
        <v>55</v>
      </c>
      <c r="G30" s="44" t="s">
        <v>56</v>
      </c>
      <c r="H30" s="26" t="s">
        <v>57</v>
      </c>
      <c r="I30" s="44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46196</v>
      </c>
      <c r="O30" s="26" t="s">
        <v>55</v>
      </c>
      <c r="P30" s="44" t="s">
        <v>56</v>
      </c>
      <c r="Q30" s="26" t="s">
        <v>57</v>
      </c>
      <c r="R30" s="44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4669</v>
      </c>
      <c r="C31" s="25" t="s">
        <v>4670</v>
      </c>
      <c r="D31" s="23" t="s">
        <v>4618</v>
      </c>
      <c r="E31" s="43">
        <v>46125</v>
      </c>
      <c r="F31" s="26" t="s">
        <v>55</v>
      </c>
      <c r="G31" s="44" t="s">
        <v>770</v>
      </c>
      <c r="H31" s="26" t="s">
        <v>57</v>
      </c>
      <c r="I31" s="44" t="s">
        <v>770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46196</v>
      </c>
      <c r="O31" s="26" t="s">
        <v>55</v>
      </c>
      <c r="P31" s="44" t="s">
        <v>770</v>
      </c>
      <c r="Q31" s="26" t="s">
        <v>57</v>
      </c>
      <c r="R31" s="44" t="s">
        <v>770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4671</v>
      </c>
      <c r="C32" s="41" t="s">
        <v>4672</v>
      </c>
      <c r="D32" s="39" t="s">
        <v>4618</v>
      </c>
      <c r="E32" s="43">
        <v>46125</v>
      </c>
      <c r="F32" s="26" t="s">
        <v>55</v>
      </c>
      <c r="G32" s="44" t="s">
        <v>770</v>
      </c>
      <c r="H32" s="26" t="s">
        <v>57</v>
      </c>
      <c r="I32" s="44" t="s">
        <v>770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46196</v>
      </c>
      <c r="O32" s="26" t="s">
        <v>55</v>
      </c>
      <c r="P32" s="44" t="s">
        <v>770</v>
      </c>
      <c r="Q32" s="26" t="s">
        <v>57</v>
      </c>
      <c r="R32" s="44" t="s">
        <v>770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4673</v>
      </c>
      <c r="C33" s="25" t="s">
        <v>4674</v>
      </c>
      <c r="D33" s="23" t="s">
        <v>4618</v>
      </c>
      <c r="E33" s="43">
        <v>46125</v>
      </c>
      <c r="F33" s="26" t="s">
        <v>55</v>
      </c>
      <c r="G33" s="44" t="s">
        <v>770</v>
      </c>
      <c r="H33" s="26" t="s">
        <v>57</v>
      </c>
      <c r="I33" s="44" t="s">
        <v>770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46196</v>
      </c>
      <c r="O33" s="26" t="s">
        <v>55</v>
      </c>
      <c r="P33" s="44" t="s">
        <v>770</v>
      </c>
      <c r="Q33" s="26" t="s">
        <v>57</v>
      </c>
      <c r="R33" s="44" t="s">
        <v>770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4675</v>
      </c>
      <c r="C34" s="41" t="s">
        <v>4676</v>
      </c>
      <c r="D34" s="39" t="s">
        <v>4618</v>
      </c>
      <c r="E34" s="43">
        <v>46125</v>
      </c>
      <c r="F34" s="26" t="s">
        <v>55</v>
      </c>
      <c r="G34" s="44" t="s">
        <v>770</v>
      </c>
      <c r="H34" s="26" t="s">
        <v>57</v>
      </c>
      <c r="I34" s="44" t="s">
        <v>770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46196</v>
      </c>
      <c r="O34" s="26" t="s">
        <v>55</v>
      </c>
      <c r="P34" s="44" t="s">
        <v>770</v>
      </c>
      <c r="Q34" s="26" t="s">
        <v>57</v>
      </c>
      <c r="R34" s="44" t="s">
        <v>770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4677</v>
      </c>
      <c r="C35" s="25" t="s">
        <v>4678</v>
      </c>
      <c r="D35" s="23" t="s">
        <v>4618</v>
      </c>
      <c r="E35" s="43">
        <v>46125</v>
      </c>
      <c r="F35" s="26" t="s">
        <v>55</v>
      </c>
      <c r="G35" s="44" t="s">
        <v>770</v>
      </c>
      <c r="H35" s="26" t="s">
        <v>57</v>
      </c>
      <c r="I35" s="44" t="s">
        <v>770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46196</v>
      </c>
      <c r="O35" s="26" t="s">
        <v>55</v>
      </c>
      <c r="P35" s="44" t="s">
        <v>770</v>
      </c>
      <c r="Q35" s="26" t="s">
        <v>57</v>
      </c>
      <c r="R35" s="44" t="s">
        <v>770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4679</v>
      </c>
      <c r="C36" s="41" t="s">
        <v>4680</v>
      </c>
      <c r="D36" s="39" t="s">
        <v>4618</v>
      </c>
      <c r="E36" s="43">
        <v>46125</v>
      </c>
      <c r="F36" s="26" t="s">
        <v>55</v>
      </c>
      <c r="G36" s="44" t="s">
        <v>770</v>
      </c>
      <c r="H36" s="26" t="s">
        <v>57</v>
      </c>
      <c r="I36" s="44" t="s">
        <v>770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46196</v>
      </c>
      <c r="O36" s="26" t="s">
        <v>55</v>
      </c>
      <c r="P36" s="44" t="s">
        <v>770</v>
      </c>
      <c r="Q36" s="26" t="s">
        <v>57</v>
      </c>
      <c r="R36" s="44" t="s">
        <v>770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4681</v>
      </c>
      <c r="C37" s="25" t="s">
        <v>4682</v>
      </c>
      <c r="D37" s="23" t="s">
        <v>4618</v>
      </c>
      <c r="E37" s="43">
        <v>46125</v>
      </c>
      <c r="F37" s="26" t="s">
        <v>55</v>
      </c>
      <c r="G37" s="44" t="s">
        <v>770</v>
      </c>
      <c r="H37" s="26" t="s">
        <v>57</v>
      </c>
      <c r="I37" s="44" t="s">
        <v>770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3">
        <v>46196</v>
      </c>
      <c r="O37" s="26" t="s">
        <v>55</v>
      </c>
      <c r="P37" s="44" t="s">
        <v>770</v>
      </c>
      <c r="Q37" s="26" t="s">
        <v>57</v>
      </c>
      <c r="R37" s="44" t="s">
        <v>770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4683</v>
      </c>
      <c r="C38" s="41" t="s">
        <v>4684</v>
      </c>
      <c r="D38" s="39" t="s">
        <v>4618</v>
      </c>
      <c r="E38" s="43">
        <v>46125</v>
      </c>
      <c r="F38" s="26" t="s">
        <v>55</v>
      </c>
      <c r="G38" s="44" t="s">
        <v>770</v>
      </c>
      <c r="H38" s="26" t="s">
        <v>57</v>
      </c>
      <c r="I38" s="44" t="s">
        <v>770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3">
        <v>46196</v>
      </c>
      <c r="O38" s="26" t="s">
        <v>55</v>
      </c>
      <c r="P38" s="44" t="s">
        <v>770</v>
      </c>
      <c r="Q38" s="26" t="s">
        <v>57</v>
      </c>
      <c r="R38" s="44" t="s">
        <v>770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4685</v>
      </c>
      <c r="C39" s="25" t="s">
        <v>4686</v>
      </c>
      <c r="D39" s="23" t="s">
        <v>4618</v>
      </c>
      <c r="E39" s="43">
        <v>46125</v>
      </c>
      <c r="F39" s="26" t="s">
        <v>55</v>
      </c>
      <c r="G39" s="44" t="s">
        <v>770</v>
      </c>
      <c r="H39" s="26" t="s">
        <v>57</v>
      </c>
      <c r="I39" s="44" t="s">
        <v>770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3">
        <v>46196</v>
      </c>
      <c r="O39" s="26" t="s">
        <v>55</v>
      </c>
      <c r="P39" s="44" t="s">
        <v>770</v>
      </c>
      <c r="Q39" s="26" t="s">
        <v>57</v>
      </c>
      <c r="R39" s="44" t="s">
        <v>770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4687</v>
      </c>
      <c r="C40" s="41" t="s">
        <v>4688</v>
      </c>
      <c r="D40" s="39" t="s">
        <v>4618</v>
      </c>
      <c r="E40" s="43">
        <v>46125</v>
      </c>
      <c r="F40" s="26" t="s">
        <v>55</v>
      </c>
      <c r="G40" s="44" t="s">
        <v>770</v>
      </c>
      <c r="H40" s="26" t="s">
        <v>57</v>
      </c>
      <c r="I40" s="44" t="s">
        <v>770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3">
        <v>46196</v>
      </c>
      <c r="O40" s="26" t="s">
        <v>55</v>
      </c>
      <c r="P40" s="44" t="s">
        <v>770</v>
      </c>
      <c r="Q40" s="26" t="s">
        <v>57</v>
      </c>
      <c r="R40" s="44" t="s">
        <v>770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4689</v>
      </c>
      <c r="C41" s="25" t="s">
        <v>4690</v>
      </c>
      <c r="D41" s="23" t="s">
        <v>4618</v>
      </c>
      <c r="E41" s="43">
        <v>46125</v>
      </c>
      <c r="F41" s="26" t="s">
        <v>55</v>
      </c>
      <c r="G41" s="44" t="s">
        <v>770</v>
      </c>
      <c r="H41" s="26" t="s">
        <v>57</v>
      </c>
      <c r="I41" s="44" t="s">
        <v>770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3">
        <v>46196</v>
      </c>
      <c r="O41" s="26" t="s">
        <v>55</v>
      </c>
      <c r="P41" s="44" t="s">
        <v>770</v>
      </c>
      <c r="Q41" s="26" t="s">
        <v>57</v>
      </c>
      <c r="R41" s="44" t="s">
        <v>770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4691</v>
      </c>
      <c r="C42" s="41" t="s">
        <v>4692</v>
      </c>
      <c r="D42" s="39" t="s">
        <v>4618</v>
      </c>
      <c r="E42" s="43">
        <v>46125</v>
      </c>
      <c r="F42" s="26" t="s">
        <v>55</v>
      </c>
      <c r="G42" s="44" t="s">
        <v>770</v>
      </c>
      <c r="H42" s="26" t="s">
        <v>57</v>
      </c>
      <c r="I42" s="44" t="s">
        <v>770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3">
        <v>46196</v>
      </c>
      <c r="O42" s="26" t="s">
        <v>55</v>
      </c>
      <c r="P42" s="44" t="s">
        <v>770</v>
      </c>
      <c r="Q42" s="26" t="s">
        <v>57</v>
      </c>
      <c r="R42" s="44" t="s">
        <v>770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4693</v>
      </c>
      <c r="C43" s="25" t="s">
        <v>4694</v>
      </c>
      <c r="D43" s="23" t="s">
        <v>4618</v>
      </c>
      <c r="E43" s="43">
        <v>46125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3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4695</v>
      </c>
      <c r="C44" s="41" t="s">
        <v>4696</v>
      </c>
      <c r="D44" s="39" t="s">
        <v>4618</v>
      </c>
      <c r="E44" s="43">
        <v>46125</v>
      </c>
      <c r="F44" s="26" t="s">
        <v>55</v>
      </c>
      <c r="G44" s="44" t="s">
        <v>770</v>
      </c>
      <c r="H44" s="26" t="s">
        <v>57</v>
      </c>
      <c r="I44" s="44" t="s">
        <v>770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3">
        <v>46196</v>
      </c>
      <c r="O44" s="26" t="s">
        <v>55</v>
      </c>
      <c r="P44" s="44" t="s">
        <v>770</v>
      </c>
      <c r="Q44" s="26" t="s">
        <v>57</v>
      </c>
      <c r="R44" s="44" t="s">
        <v>770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4697</v>
      </c>
      <c r="C45" s="25" t="s">
        <v>4698</v>
      </c>
      <c r="D45" s="23" t="s">
        <v>4618</v>
      </c>
      <c r="E45" s="43">
        <v>46125</v>
      </c>
      <c r="F45" s="26" t="s">
        <v>55</v>
      </c>
      <c r="G45" s="44" t="s">
        <v>770</v>
      </c>
      <c r="H45" s="26" t="s">
        <v>57</v>
      </c>
      <c r="I45" s="44" t="s">
        <v>770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3">
        <v>46196</v>
      </c>
      <c r="O45" s="26" t="s">
        <v>55</v>
      </c>
      <c r="P45" s="44" t="s">
        <v>770</v>
      </c>
      <c r="Q45" s="26" t="s">
        <v>57</v>
      </c>
      <c r="R45" s="44" t="s">
        <v>770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4699</v>
      </c>
      <c r="C46" s="41" t="s">
        <v>4700</v>
      </c>
      <c r="D46" s="39" t="s">
        <v>4618</v>
      </c>
      <c r="E46" s="43">
        <v>46125</v>
      </c>
      <c r="F46" s="26" t="s">
        <v>55</v>
      </c>
      <c r="G46" s="44" t="s">
        <v>770</v>
      </c>
      <c r="H46" s="26" t="s">
        <v>57</v>
      </c>
      <c r="I46" s="44" t="s">
        <v>770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3">
        <v>46196</v>
      </c>
      <c r="O46" s="26" t="s">
        <v>55</v>
      </c>
      <c r="P46" s="44" t="s">
        <v>770</v>
      </c>
      <c r="Q46" s="26" t="s">
        <v>57</v>
      </c>
      <c r="R46" s="44" t="s">
        <v>770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4701</v>
      </c>
      <c r="C47" s="25" t="s">
        <v>4702</v>
      </c>
      <c r="D47" s="23" t="s">
        <v>4618</v>
      </c>
      <c r="E47" s="43">
        <v>46125</v>
      </c>
      <c r="F47" s="26" t="s">
        <v>55</v>
      </c>
      <c r="G47" s="44" t="s">
        <v>770</v>
      </c>
      <c r="H47" s="26" t="s">
        <v>57</v>
      </c>
      <c r="I47" s="44" t="s">
        <v>770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3">
        <v>46196</v>
      </c>
      <c r="O47" s="26" t="s">
        <v>55</v>
      </c>
      <c r="P47" s="44" t="s">
        <v>770</v>
      </c>
      <c r="Q47" s="26" t="s">
        <v>57</v>
      </c>
      <c r="R47" s="44" t="s">
        <v>770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4703</v>
      </c>
      <c r="C48" s="41" t="s">
        <v>4704</v>
      </c>
      <c r="D48" s="39" t="s">
        <v>4618</v>
      </c>
      <c r="E48" s="43">
        <v>46125</v>
      </c>
      <c r="F48" s="26" t="s">
        <v>55</v>
      </c>
      <c r="G48" s="44" t="s">
        <v>770</v>
      </c>
      <c r="H48" s="26" t="s">
        <v>57</v>
      </c>
      <c r="I48" s="44" t="s">
        <v>770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3">
        <v>46196</v>
      </c>
      <c r="O48" s="26" t="s">
        <v>55</v>
      </c>
      <c r="P48" s="44" t="s">
        <v>770</v>
      </c>
      <c r="Q48" s="26" t="s">
        <v>57</v>
      </c>
      <c r="R48" s="44" t="s">
        <v>770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4705</v>
      </c>
      <c r="C49" s="25" t="s">
        <v>4706</v>
      </c>
      <c r="D49" s="23" t="s">
        <v>4618</v>
      </c>
      <c r="E49" s="43">
        <v>46125</v>
      </c>
      <c r="F49" s="26" t="s">
        <v>55</v>
      </c>
      <c r="G49" s="44" t="s">
        <v>770</v>
      </c>
      <c r="H49" s="26" t="s">
        <v>57</v>
      </c>
      <c r="I49" s="44" t="s">
        <v>770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3">
        <v>46196</v>
      </c>
      <c r="O49" s="26" t="s">
        <v>55</v>
      </c>
      <c r="P49" s="44" t="s">
        <v>770</v>
      </c>
      <c r="Q49" s="26" t="s">
        <v>57</v>
      </c>
      <c r="R49" s="44" t="s">
        <v>770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4707</v>
      </c>
      <c r="C50" s="41" t="s">
        <v>4708</v>
      </c>
      <c r="D50" s="39" t="s">
        <v>4618</v>
      </c>
      <c r="E50" s="43">
        <v>46125</v>
      </c>
      <c r="F50" s="26" t="s">
        <v>55</v>
      </c>
      <c r="G50" s="44" t="s">
        <v>770</v>
      </c>
      <c r="H50" s="26" t="s">
        <v>57</v>
      </c>
      <c r="I50" s="44" t="s">
        <v>770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3">
        <v>46196</v>
      </c>
      <c r="O50" s="26" t="s">
        <v>55</v>
      </c>
      <c r="P50" s="44" t="s">
        <v>770</v>
      </c>
      <c r="Q50" s="26" t="s">
        <v>57</v>
      </c>
      <c r="R50" s="44" t="s">
        <v>770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4709</v>
      </c>
      <c r="C51" s="25" t="s">
        <v>4710</v>
      </c>
      <c r="D51" s="23" t="s">
        <v>4618</v>
      </c>
      <c r="E51" s="43">
        <v>46125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3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4711</v>
      </c>
      <c r="C52" s="41" t="s">
        <v>4712</v>
      </c>
      <c r="D52" s="39" t="s">
        <v>4618</v>
      </c>
      <c r="E52" s="43">
        <v>46125</v>
      </c>
      <c r="F52" s="26" t="s">
        <v>55</v>
      </c>
      <c r="G52" s="44" t="s">
        <v>770</v>
      </c>
      <c r="H52" s="26" t="s">
        <v>57</v>
      </c>
      <c r="I52" s="44" t="s">
        <v>770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3">
        <v>46196</v>
      </c>
      <c r="O52" s="26" t="s">
        <v>55</v>
      </c>
      <c r="P52" s="44" t="s">
        <v>770</v>
      </c>
      <c r="Q52" s="26" t="s">
        <v>57</v>
      </c>
      <c r="R52" s="44" t="s">
        <v>770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4713</v>
      </c>
      <c r="C53" s="25" t="s">
        <v>4714</v>
      </c>
      <c r="D53" s="23" t="s">
        <v>4618</v>
      </c>
      <c r="E53" s="43">
        <v>46125</v>
      </c>
      <c r="F53" s="26" t="s">
        <v>55</v>
      </c>
      <c r="G53" s="44" t="s">
        <v>57</v>
      </c>
      <c r="H53" s="26" t="s">
        <v>57</v>
      </c>
      <c r="I53" s="44" t="s">
        <v>153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43">
        <v>46196</v>
      </c>
      <c r="O53" s="26" t="s">
        <v>55</v>
      </c>
      <c r="P53" s="44" t="s">
        <v>57</v>
      </c>
      <c r="Q53" s="26" t="s">
        <v>57</v>
      </c>
      <c r="R53" s="44" t="s">
        <v>153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4715</v>
      </c>
      <c r="C54" s="41" t="s">
        <v>4716</v>
      </c>
      <c r="D54" s="39" t="s">
        <v>4618</v>
      </c>
      <c r="E54" s="43">
        <v>46125</v>
      </c>
      <c r="F54" s="26" t="s">
        <v>55</v>
      </c>
      <c r="G54" s="44" t="s">
        <v>57</v>
      </c>
      <c r="H54" s="26" t="s">
        <v>57</v>
      </c>
      <c r="I54" s="44" t="s">
        <v>153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43">
        <v>46196</v>
      </c>
      <c r="O54" s="26" t="s">
        <v>55</v>
      </c>
      <c r="P54" s="44" t="s">
        <v>57</v>
      </c>
      <c r="Q54" s="26" t="s">
        <v>57</v>
      </c>
      <c r="R54" s="44" t="s">
        <v>153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4717</v>
      </c>
      <c r="C55" s="25" t="s">
        <v>4718</v>
      </c>
      <c r="D55" s="23" t="s">
        <v>4618</v>
      </c>
      <c r="E55" s="43">
        <v>46125</v>
      </c>
      <c r="F55" s="26" t="s">
        <v>55</v>
      </c>
      <c r="G55" s="44" t="s">
        <v>57</v>
      </c>
      <c r="H55" s="26" t="s">
        <v>57</v>
      </c>
      <c r="I55" s="44" t="s">
        <v>153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43">
        <v>46196</v>
      </c>
      <c r="O55" s="26" t="s">
        <v>55</v>
      </c>
      <c r="P55" s="44" t="s">
        <v>57</v>
      </c>
      <c r="Q55" s="26" t="s">
        <v>57</v>
      </c>
      <c r="R55" s="44" t="s">
        <v>153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4719</v>
      </c>
      <c r="C56" s="41" t="s">
        <v>4720</v>
      </c>
      <c r="D56" s="39" t="s">
        <v>4618</v>
      </c>
      <c r="E56" s="43">
        <v>46125</v>
      </c>
      <c r="F56" s="26" t="s">
        <v>55</v>
      </c>
      <c r="G56" s="44" t="s">
        <v>57</v>
      </c>
      <c r="H56" s="26" t="s">
        <v>57</v>
      </c>
      <c r="I56" s="44" t="s">
        <v>153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43">
        <v>46196</v>
      </c>
      <c r="O56" s="26" t="s">
        <v>55</v>
      </c>
      <c r="P56" s="44" t="s">
        <v>57</v>
      </c>
      <c r="Q56" s="26" t="s">
        <v>57</v>
      </c>
      <c r="R56" s="44" t="s">
        <v>153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4721</v>
      </c>
      <c r="C57" s="25" t="s">
        <v>4722</v>
      </c>
      <c r="D57" s="23" t="s">
        <v>4618</v>
      </c>
      <c r="E57" s="43">
        <v>46125</v>
      </c>
      <c r="F57" s="26" t="s">
        <v>55</v>
      </c>
      <c r="G57" s="44" t="s">
        <v>57</v>
      </c>
      <c r="H57" s="26" t="s">
        <v>57</v>
      </c>
      <c r="I57" s="44" t="s">
        <v>153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43">
        <v>46196</v>
      </c>
      <c r="O57" s="26" t="s">
        <v>55</v>
      </c>
      <c r="P57" s="44" t="s">
        <v>57</v>
      </c>
      <c r="Q57" s="26" t="s">
        <v>57</v>
      </c>
      <c r="R57" s="44" t="s">
        <v>153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4723</v>
      </c>
      <c r="C58" s="41" t="s">
        <v>4724</v>
      </c>
      <c r="D58" s="39" t="s">
        <v>4618</v>
      </c>
      <c r="E58" s="43">
        <v>46125</v>
      </c>
      <c r="F58" s="26" t="s">
        <v>55</v>
      </c>
      <c r="G58" s="44" t="s">
        <v>57</v>
      </c>
      <c r="H58" s="26" t="s">
        <v>57</v>
      </c>
      <c r="I58" s="44" t="s">
        <v>153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43">
        <v>46196</v>
      </c>
      <c r="O58" s="26" t="s">
        <v>55</v>
      </c>
      <c r="P58" s="44" t="s">
        <v>57</v>
      </c>
      <c r="Q58" s="26" t="s">
        <v>57</v>
      </c>
      <c r="R58" s="44" t="s">
        <v>153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4725</v>
      </c>
      <c r="C59" s="25" t="s">
        <v>4726</v>
      </c>
      <c r="D59" s="23" t="s">
        <v>4618</v>
      </c>
      <c r="E59" s="43">
        <v>46125</v>
      </c>
      <c r="F59" s="26" t="s">
        <v>55</v>
      </c>
      <c r="G59" s="44" t="s">
        <v>57</v>
      </c>
      <c r="H59" s="26" t="s">
        <v>57</v>
      </c>
      <c r="I59" s="44" t="s">
        <v>153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43">
        <v>46196</v>
      </c>
      <c r="O59" s="26" t="s">
        <v>55</v>
      </c>
      <c r="P59" s="44" t="s">
        <v>57</v>
      </c>
      <c r="Q59" s="26" t="s">
        <v>57</v>
      </c>
      <c r="R59" s="44" t="s">
        <v>153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4727</v>
      </c>
      <c r="C60" s="41" t="s">
        <v>4728</v>
      </c>
      <c r="D60" s="39" t="s">
        <v>4618</v>
      </c>
      <c r="E60" s="43">
        <v>46125</v>
      </c>
      <c r="F60" s="26" t="s">
        <v>55</v>
      </c>
      <c r="G60" s="44" t="s">
        <v>57</v>
      </c>
      <c r="H60" s="26" t="s">
        <v>57</v>
      </c>
      <c r="I60" s="44" t="s">
        <v>153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43">
        <v>46196</v>
      </c>
      <c r="O60" s="26" t="s">
        <v>55</v>
      </c>
      <c r="P60" s="44" t="s">
        <v>57</v>
      </c>
      <c r="Q60" s="26" t="s">
        <v>57</v>
      </c>
      <c r="R60" s="44" t="s">
        <v>153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4729</v>
      </c>
      <c r="C61" s="25" t="s">
        <v>4730</v>
      </c>
      <c r="D61" s="23" t="s">
        <v>4618</v>
      </c>
      <c r="E61" s="43">
        <v>46125</v>
      </c>
      <c r="F61" s="26" t="s">
        <v>55</v>
      </c>
      <c r="G61" s="44" t="s">
        <v>57</v>
      </c>
      <c r="H61" s="26" t="s">
        <v>57</v>
      </c>
      <c r="I61" s="44" t="s">
        <v>153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43">
        <v>46196</v>
      </c>
      <c r="O61" s="26" t="s">
        <v>55</v>
      </c>
      <c r="P61" s="44" t="s">
        <v>57</v>
      </c>
      <c r="Q61" s="26" t="s">
        <v>57</v>
      </c>
      <c r="R61" s="44" t="s">
        <v>153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4731</v>
      </c>
      <c r="C62" s="41" t="s">
        <v>4732</v>
      </c>
      <c r="D62" s="39" t="s">
        <v>4618</v>
      </c>
      <c r="E62" s="43">
        <v>46125</v>
      </c>
      <c r="F62" s="26" t="s">
        <v>55</v>
      </c>
      <c r="G62" s="44" t="s">
        <v>57</v>
      </c>
      <c r="H62" s="26" t="s">
        <v>57</v>
      </c>
      <c r="I62" s="44" t="s">
        <v>153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43">
        <v>46196</v>
      </c>
      <c r="O62" s="26" t="s">
        <v>55</v>
      </c>
      <c r="P62" s="44" t="s">
        <v>57</v>
      </c>
      <c r="Q62" s="26" t="s">
        <v>57</v>
      </c>
      <c r="R62" s="44" t="s">
        <v>153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4733</v>
      </c>
      <c r="C63" s="25" t="s">
        <v>4734</v>
      </c>
      <c r="D63" s="23" t="s">
        <v>4618</v>
      </c>
      <c r="E63" s="43">
        <v>46125</v>
      </c>
      <c r="F63" s="26" t="s">
        <v>55</v>
      </c>
      <c r="G63" s="44" t="s">
        <v>57</v>
      </c>
      <c r="H63" s="26" t="s">
        <v>57</v>
      </c>
      <c r="I63" s="44" t="s">
        <v>153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43">
        <v>46196</v>
      </c>
      <c r="O63" s="26" t="s">
        <v>55</v>
      </c>
      <c r="P63" s="44" t="s">
        <v>57</v>
      </c>
      <c r="Q63" s="26" t="s">
        <v>57</v>
      </c>
      <c r="R63" s="44" t="s">
        <v>153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4735</v>
      </c>
      <c r="C64" s="41" t="s">
        <v>4736</v>
      </c>
      <c r="D64" s="39" t="s">
        <v>4618</v>
      </c>
      <c r="E64" s="43">
        <v>46125</v>
      </c>
      <c r="F64" s="26" t="s">
        <v>55</v>
      </c>
      <c r="G64" s="44" t="s">
        <v>57</v>
      </c>
      <c r="H64" s="26" t="s">
        <v>57</v>
      </c>
      <c r="I64" s="44" t="s">
        <v>153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43">
        <v>46196</v>
      </c>
      <c r="O64" s="26" t="s">
        <v>55</v>
      </c>
      <c r="P64" s="44" t="s">
        <v>57</v>
      </c>
      <c r="Q64" s="26" t="s">
        <v>57</v>
      </c>
      <c r="R64" s="44" t="s">
        <v>153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4737</v>
      </c>
      <c r="C65" s="25" t="s">
        <v>4738</v>
      </c>
      <c r="D65" s="23" t="s">
        <v>4618</v>
      </c>
      <c r="E65" s="43">
        <v>46125</v>
      </c>
      <c r="F65" s="26" t="s">
        <v>55</v>
      </c>
      <c r="G65" s="44" t="s">
        <v>57</v>
      </c>
      <c r="H65" s="26" t="s">
        <v>57</v>
      </c>
      <c r="I65" s="44" t="s">
        <v>153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43">
        <v>46196</v>
      </c>
      <c r="O65" s="26" t="s">
        <v>55</v>
      </c>
      <c r="P65" s="44" t="s">
        <v>57</v>
      </c>
      <c r="Q65" s="26" t="s">
        <v>57</v>
      </c>
      <c r="R65" s="44" t="s">
        <v>153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4739</v>
      </c>
      <c r="C66" s="41" t="s">
        <v>4740</v>
      </c>
      <c r="D66" s="39" t="s">
        <v>4618</v>
      </c>
      <c r="E66" s="43">
        <v>46125</v>
      </c>
      <c r="F66" s="26" t="s">
        <v>55</v>
      </c>
      <c r="G66" s="44" t="s">
        <v>57</v>
      </c>
      <c r="H66" s="26" t="s">
        <v>57</v>
      </c>
      <c r="I66" s="44" t="s">
        <v>153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43">
        <v>46196</v>
      </c>
      <c r="O66" s="26" t="s">
        <v>55</v>
      </c>
      <c r="P66" s="44" t="s">
        <v>57</v>
      </c>
      <c r="Q66" s="26" t="s">
        <v>57</v>
      </c>
      <c r="R66" s="44" t="s">
        <v>153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4741</v>
      </c>
      <c r="C67" s="25" t="s">
        <v>4742</v>
      </c>
      <c r="D67" s="23" t="s">
        <v>4618</v>
      </c>
      <c r="E67" s="43">
        <v>46125</v>
      </c>
      <c r="F67" s="26" t="s">
        <v>55</v>
      </c>
      <c r="G67" s="44" t="s">
        <v>57</v>
      </c>
      <c r="H67" s="26" t="s">
        <v>57</v>
      </c>
      <c r="I67" s="44" t="s">
        <v>153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43">
        <v>46196</v>
      </c>
      <c r="O67" s="26" t="s">
        <v>55</v>
      </c>
      <c r="P67" s="44" t="s">
        <v>57</v>
      </c>
      <c r="Q67" s="26" t="s">
        <v>57</v>
      </c>
      <c r="R67" s="44" t="s">
        <v>153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4743</v>
      </c>
      <c r="C68" s="41" t="s">
        <v>4744</v>
      </c>
      <c r="D68" s="39" t="s">
        <v>4618</v>
      </c>
      <c r="E68" s="43">
        <v>46125</v>
      </c>
      <c r="F68" s="26" t="s">
        <v>55</v>
      </c>
      <c r="G68" s="44" t="s">
        <v>57</v>
      </c>
      <c r="H68" s="26" t="s">
        <v>57</v>
      </c>
      <c r="I68" s="44" t="s">
        <v>153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43">
        <v>46196</v>
      </c>
      <c r="O68" s="26" t="s">
        <v>55</v>
      </c>
      <c r="P68" s="44" t="s">
        <v>57</v>
      </c>
      <c r="Q68" s="26" t="s">
        <v>57</v>
      </c>
      <c r="R68" s="44" t="s">
        <v>153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4745</v>
      </c>
      <c r="C69" s="25" t="s">
        <v>4746</v>
      </c>
      <c r="D69" s="23" t="s">
        <v>4618</v>
      </c>
      <c r="E69" s="43">
        <v>46125</v>
      </c>
      <c r="F69" s="26" t="s">
        <v>55</v>
      </c>
      <c r="G69" s="44" t="s">
        <v>57</v>
      </c>
      <c r="H69" s="26" t="s">
        <v>57</v>
      </c>
      <c r="I69" s="44" t="s">
        <v>153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3">
        <v>46196</v>
      </c>
      <c r="O69" s="26" t="s">
        <v>55</v>
      </c>
      <c r="P69" s="44" t="s">
        <v>57</v>
      </c>
      <c r="Q69" s="26" t="s">
        <v>57</v>
      </c>
      <c r="R69" s="44" t="s">
        <v>153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4747</v>
      </c>
      <c r="C70" s="41" t="s">
        <v>4748</v>
      </c>
      <c r="D70" s="39" t="s">
        <v>4618</v>
      </c>
      <c r="E70" s="43">
        <v>46125</v>
      </c>
      <c r="F70" s="26" t="s">
        <v>55</v>
      </c>
      <c r="G70" s="44" t="s">
        <v>57</v>
      </c>
      <c r="H70" s="26" t="s">
        <v>57</v>
      </c>
      <c r="I70" s="44" t="s">
        <v>153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43">
        <v>46196</v>
      </c>
      <c r="O70" s="26" t="s">
        <v>55</v>
      </c>
      <c r="P70" s="44" t="s">
        <v>57</v>
      </c>
      <c r="Q70" s="26" t="s">
        <v>57</v>
      </c>
      <c r="R70" s="44" t="s">
        <v>153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4749</v>
      </c>
      <c r="C71" s="25" t="s">
        <v>4750</v>
      </c>
      <c r="D71" s="23" t="s">
        <v>4618</v>
      </c>
      <c r="E71" s="43">
        <v>46125</v>
      </c>
      <c r="F71" s="26" t="s">
        <v>55</v>
      </c>
      <c r="G71" s="44" t="s">
        <v>57</v>
      </c>
      <c r="H71" s="26" t="s">
        <v>57</v>
      </c>
      <c r="I71" s="44" t="s">
        <v>153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43">
        <v>46196</v>
      </c>
      <c r="O71" s="26" t="s">
        <v>55</v>
      </c>
      <c r="P71" s="44" t="s">
        <v>57</v>
      </c>
      <c r="Q71" s="26" t="s">
        <v>57</v>
      </c>
      <c r="R71" s="44" t="s">
        <v>153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4751</v>
      </c>
      <c r="C72" s="41" t="s">
        <v>4752</v>
      </c>
      <c r="D72" s="39" t="s">
        <v>4618</v>
      </c>
      <c r="E72" s="43">
        <v>46125</v>
      </c>
      <c r="F72" s="26" t="s">
        <v>55</v>
      </c>
      <c r="G72" s="44" t="s">
        <v>57</v>
      </c>
      <c r="H72" s="26" t="s">
        <v>57</v>
      </c>
      <c r="I72" s="44" t="s">
        <v>153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43">
        <v>46196</v>
      </c>
      <c r="O72" s="26" t="s">
        <v>55</v>
      </c>
      <c r="P72" s="44" t="s">
        <v>57</v>
      </c>
      <c r="Q72" s="26" t="s">
        <v>57</v>
      </c>
      <c r="R72" s="44" t="s">
        <v>153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4753</v>
      </c>
      <c r="C73" s="25" t="s">
        <v>4754</v>
      </c>
      <c r="D73" s="23" t="s">
        <v>4618</v>
      </c>
      <c r="E73" s="43">
        <v>46125</v>
      </c>
      <c r="F73" s="26" t="s">
        <v>55</v>
      </c>
      <c r="G73" s="44" t="s">
        <v>57</v>
      </c>
      <c r="H73" s="26" t="s">
        <v>57</v>
      </c>
      <c r="I73" s="44" t="s">
        <v>153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43">
        <v>46196</v>
      </c>
      <c r="O73" s="26" t="s">
        <v>55</v>
      </c>
      <c r="P73" s="44" t="s">
        <v>57</v>
      </c>
      <c r="Q73" s="26" t="s">
        <v>57</v>
      </c>
      <c r="R73" s="44" t="s">
        <v>153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4755</v>
      </c>
      <c r="C74" s="41" t="s">
        <v>4756</v>
      </c>
      <c r="D74" s="39" t="s">
        <v>4618</v>
      </c>
      <c r="E74" s="43">
        <v>46125</v>
      </c>
      <c r="F74" s="26" t="s">
        <v>55</v>
      </c>
      <c r="G74" s="44" t="s">
        <v>57</v>
      </c>
      <c r="H74" s="26" t="s">
        <v>57</v>
      </c>
      <c r="I74" s="44" t="s">
        <v>153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43">
        <v>46196</v>
      </c>
      <c r="O74" s="26" t="s">
        <v>55</v>
      </c>
      <c r="P74" s="44" t="s">
        <v>57</v>
      </c>
      <c r="Q74" s="26" t="s">
        <v>57</v>
      </c>
      <c r="R74" s="44" t="s">
        <v>153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4757</v>
      </c>
      <c r="C75" s="25" t="s">
        <v>4758</v>
      </c>
      <c r="D75" s="23" t="s">
        <v>4618</v>
      </c>
      <c r="E75" s="43">
        <v>46125</v>
      </c>
      <c r="F75" s="26" t="s">
        <v>55</v>
      </c>
      <c r="G75" s="44" t="s">
        <v>57</v>
      </c>
      <c r="H75" s="26" t="s">
        <v>57</v>
      </c>
      <c r="I75" s="44" t="s">
        <v>153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43">
        <v>46196</v>
      </c>
      <c r="O75" s="26" t="s">
        <v>55</v>
      </c>
      <c r="P75" s="44" t="s">
        <v>57</v>
      </c>
      <c r="Q75" s="26" t="s">
        <v>57</v>
      </c>
      <c r="R75" s="44" t="s">
        <v>153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4759</v>
      </c>
      <c r="C76" s="41" t="s">
        <v>4760</v>
      </c>
      <c r="D76" s="39" t="s">
        <v>4618</v>
      </c>
      <c r="E76" s="43">
        <v>46125</v>
      </c>
      <c r="F76" s="26" t="s">
        <v>55</v>
      </c>
      <c r="G76" s="44" t="s">
        <v>57</v>
      </c>
      <c r="H76" s="26" t="s">
        <v>57</v>
      </c>
      <c r="I76" s="44" t="s">
        <v>153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43">
        <v>46196</v>
      </c>
      <c r="O76" s="26" t="s">
        <v>55</v>
      </c>
      <c r="P76" s="44" t="s">
        <v>57</v>
      </c>
      <c r="Q76" s="26" t="s">
        <v>57</v>
      </c>
      <c r="R76" s="44" t="s">
        <v>153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4761</v>
      </c>
      <c r="C77" s="25" t="s">
        <v>4762</v>
      </c>
      <c r="D77" s="23" t="s">
        <v>4618</v>
      </c>
      <c r="E77" s="43">
        <v>46125</v>
      </c>
      <c r="F77" s="26" t="s">
        <v>55</v>
      </c>
      <c r="G77" s="44" t="s">
        <v>57</v>
      </c>
      <c r="H77" s="26" t="s">
        <v>57</v>
      </c>
      <c r="I77" s="44" t="s">
        <v>153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43">
        <v>46196</v>
      </c>
      <c r="O77" s="26" t="s">
        <v>55</v>
      </c>
      <c r="P77" s="44" t="s">
        <v>57</v>
      </c>
      <c r="Q77" s="26" t="s">
        <v>57</v>
      </c>
      <c r="R77" s="44" t="s">
        <v>153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4763</v>
      </c>
      <c r="C78" s="41" t="s">
        <v>4764</v>
      </c>
      <c r="D78" s="39" t="s">
        <v>4618</v>
      </c>
      <c r="E78" s="43">
        <v>46125</v>
      </c>
      <c r="F78" s="26" t="s">
        <v>55</v>
      </c>
      <c r="G78" s="44" t="s">
        <v>57</v>
      </c>
      <c r="H78" s="26" t="s">
        <v>57</v>
      </c>
      <c r="I78" s="44" t="s">
        <v>153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43">
        <v>46196</v>
      </c>
      <c r="O78" s="26" t="s">
        <v>55</v>
      </c>
      <c r="P78" s="44" t="s">
        <v>57</v>
      </c>
      <c r="Q78" s="26" t="s">
        <v>57</v>
      </c>
      <c r="R78" s="44" t="s">
        <v>153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4765</v>
      </c>
      <c r="C79" s="25" t="s">
        <v>4766</v>
      </c>
      <c r="D79" s="23" t="s">
        <v>4618</v>
      </c>
      <c r="E79" s="43">
        <v>46125</v>
      </c>
      <c r="F79" s="26" t="s">
        <v>55</v>
      </c>
      <c r="G79" s="44" t="s">
        <v>57</v>
      </c>
      <c r="H79" s="26" t="s">
        <v>57</v>
      </c>
      <c r="I79" s="44" t="s">
        <v>153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43">
        <v>46196</v>
      </c>
      <c r="O79" s="26" t="s">
        <v>55</v>
      </c>
      <c r="P79" s="44" t="s">
        <v>57</v>
      </c>
      <c r="Q79" s="26" t="s">
        <v>57</v>
      </c>
      <c r="R79" s="44" t="s">
        <v>153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4767</v>
      </c>
      <c r="C80" s="41" t="s">
        <v>4768</v>
      </c>
      <c r="D80" s="39" t="s">
        <v>4618</v>
      </c>
      <c r="E80" s="43">
        <v>46125</v>
      </c>
      <c r="F80" s="26" t="s">
        <v>55</v>
      </c>
      <c r="G80" s="44" t="s">
        <v>57</v>
      </c>
      <c r="H80" s="26" t="s">
        <v>57</v>
      </c>
      <c r="I80" s="44" t="s">
        <v>153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43">
        <v>46196</v>
      </c>
      <c r="O80" s="26" t="s">
        <v>55</v>
      </c>
      <c r="P80" s="44" t="s">
        <v>57</v>
      </c>
      <c r="Q80" s="26" t="s">
        <v>57</v>
      </c>
      <c r="R80" s="44" t="s">
        <v>153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4769</v>
      </c>
      <c r="C81" s="25" t="s">
        <v>4770</v>
      </c>
      <c r="D81" s="23" t="s">
        <v>4618</v>
      </c>
      <c r="E81" s="43">
        <v>46125</v>
      </c>
      <c r="F81" s="26" t="s">
        <v>55</v>
      </c>
      <c r="G81" s="44" t="s">
        <v>57</v>
      </c>
      <c r="H81" s="26" t="s">
        <v>57</v>
      </c>
      <c r="I81" s="44" t="s">
        <v>153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43">
        <v>46196</v>
      </c>
      <c r="O81" s="26" t="s">
        <v>55</v>
      </c>
      <c r="P81" s="44" t="s">
        <v>57</v>
      </c>
      <c r="Q81" s="26" t="s">
        <v>57</v>
      </c>
      <c r="R81" s="44" t="s">
        <v>153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4771</v>
      </c>
      <c r="C82" s="41" t="s">
        <v>4772</v>
      </c>
      <c r="D82" s="39" t="s">
        <v>4618</v>
      </c>
      <c r="E82" s="43">
        <v>46125</v>
      </c>
      <c r="F82" s="26" t="s">
        <v>55</v>
      </c>
      <c r="G82" s="44" t="s">
        <v>57</v>
      </c>
      <c r="H82" s="26" t="s">
        <v>57</v>
      </c>
      <c r="I82" s="44" t="s">
        <v>153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43">
        <v>46196</v>
      </c>
      <c r="O82" s="26" t="s">
        <v>55</v>
      </c>
      <c r="P82" s="44" t="s">
        <v>57</v>
      </c>
      <c r="Q82" s="26" t="s">
        <v>57</v>
      </c>
      <c r="R82" s="44" t="s">
        <v>153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4773</v>
      </c>
      <c r="C83" s="25" t="s">
        <v>4774</v>
      </c>
      <c r="D83" s="23" t="s">
        <v>4618</v>
      </c>
      <c r="E83" s="43">
        <v>46125</v>
      </c>
      <c r="F83" s="26" t="s">
        <v>55</v>
      </c>
      <c r="G83" s="44" t="s">
        <v>57</v>
      </c>
      <c r="H83" s="26" t="s">
        <v>57</v>
      </c>
      <c r="I83" s="44" t="s">
        <v>153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43">
        <v>46196</v>
      </c>
      <c r="O83" s="26" t="s">
        <v>55</v>
      </c>
      <c r="P83" s="44" t="s">
        <v>57</v>
      </c>
      <c r="Q83" s="26" t="s">
        <v>57</v>
      </c>
      <c r="R83" s="44" t="s">
        <v>153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4775</v>
      </c>
      <c r="C84" s="41" t="s">
        <v>4776</v>
      </c>
      <c r="D84" s="39" t="s">
        <v>4618</v>
      </c>
      <c r="E84" s="43">
        <v>46125</v>
      </c>
      <c r="F84" s="26" t="s">
        <v>55</v>
      </c>
      <c r="G84" s="44" t="s">
        <v>57</v>
      </c>
      <c r="H84" s="26" t="s">
        <v>57</v>
      </c>
      <c r="I84" s="44" t="s">
        <v>153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43">
        <v>46196</v>
      </c>
      <c r="O84" s="26" t="s">
        <v>55</v>
      </c>
      <c r="P84" s="44" t="s">
        <v>57</v>
      </c>
      <c r="Q84" s="26" t="s">
        <v>57</v>
      </c>
      <c r="R84" s="44" t="s">
        <v>153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4777</v>
      </c>
      <c r="C85" s="25" t="s">
        <v>4778</v>
      </c>
      <c r="D85" s="23" t="s">
        <v>4618</v>
      </c>
      <c r="E85" s="43">
        <v>46125</v>
      </c>
      <c r="F85" s="26" t="s">
        <v>55</v>
      </c>
      <c r="G85" s="44" t="s">
        <v>57</v>
      </c>
      <c r="H85" s="26" t="s">
        <v>57</v>
      </c>
      <c r="I85" s="44" t="s">
        <v>153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43">
        <v>46196</v>
      </c>
      <c r="O85" s="26" t="s">
        <v>55</v>
      </c>
      <c r="P85" s="44" t="s">
        <v>57</v>
      </c>
      <c r="Q85" s="26" t="s">
        <v>57</v>
      </c>
      <c r="R85" s="44" t="s">
        <v>153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4779</v>
      </c>
      <c r="C86" s="41" t="s">
        <v>4780</v>
      </c>
      <c r="D86" s="39" t="s">
        <v>4618</v>
      </c>
      <c r="E86" s="43">
        <v>46125</v>
      </c>
      <c r="F86" s="26" t="s">
        <v>55</v>
      </c>
      <c r="G86" s="44" t="s">
        <v>57</v>
      </c>
      <c r="H86" s="26" t="s">
        <v>57</v>
      </c>
      <c r="I86" s="44" t="s">
        <v>153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43">
        <v>46196</v>
      </c>
      <c r="O86" s="26" t="s">
        <v>55</v>
      </c>
      <c r="P86" s="44" t="s">
        <v>57</v>
      </c>
      <c r="Q86" s="26" t="s">
        <v>57</v>
      </c>
      <c r="R86" s="44" t="s">
        <v>153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4781</v>
      </c>
      <c r="C87" s="25" t="s">
        <v>4782</v>
      </c>
      <c r="D87" s="23" t="s">
        <v>4618</v>
      </c>
      <c r="E87" s="43">
        <v>46125</v>
      </c>
      <c r="F87" s="26" t="s">
        <v>55</v>
      </c>
      <c r="G87" s="44" t="s">
        <v>57</v>
      </c>
      <c r="H87" s="26" t="s">
        <v>57</v>
      </c>
      <c r="I87" s="44" t="s">
        <v>153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43">
        <v>46196</v>
      </c>
      <c r="O87" s="26" t="s">
        <v>55</v>
      </c>
      <c r="P87" s="44" t="s">
        <v>57</v>
      </c>
      <c r="Q87" s="26" t="s">
        <v>57</v>
      </c>
      <c r="R87" s="44" t="s">
        <v>153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4783</v>
      </c>
      <c r="C88" s="41" t="s">
        <v>4784</v>
      </c>
      <c r="D88" s="39" t="s">
        <v>4618</v>
      </c>
      <c r="E88" s="43">
        <v>46125</v>
      </c>
      <c r="F88" s="26" t="s">
        <v>55</v>
      </c>
      <c r="G88" s="44" t="s">
        <v>57</v>
      </c>
      <c r="H88" s="26" t="s">
        <v>57</v>
      </c>
      <c r="I88" s="44" t="s">
        <v>153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43">
        <v>46196</v>
      </c>
      <c r="O88" s="26" t="s">
        <v>55</v>
      </c>
      <c r="P88" s="44" t="s">
        <v>57</v>
      </c>
      <c r="Q88" s="26" t="s">
        <v>57</v>
      </c>
      <c r="R88" s="44" t="s">
        <v>153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4785</v>
      </c>
      <c r="C89" s="25" t="s">
        <v>4786</v>
      </c>
      <c r="D89" s="23" t="s">
        <v>4618</v>
      </c>
      <c r="E89" s="43">
        <v>46125</v>
      </c>
      <c r="F89" s="26" t="s">
        <v>55</v>
      </c>
      <c r="G89" s="44" t="s">
        <v>57</v>
      </c>
      <c r="H89" s="26" t="s">
        <v>57</v>
      </c>
      <c r="I89" s="44" t="s">
        <v>153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43">
        <v>46196</v>
      </c>
      <c r="O89" s="26" t="s">
        <v>55</v>
      </c>
      <c r="P89" s="44" t="s">
        <v>57</v>
      </c>
      <c r="Q89" s="26" t="s">
        <v>57</v>
      </c>
      <c r="R89" s="44" t="s">
        <v>153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4787</v>
      </c>
      <c r="C90" s="41" t="s">
        <v>4788</v>
      </c>
      <c r="D90" s="39" t="s">
        <v>4618</v>
      </c>
      <c r="E90" s="43">
        <v>46125</v>
      </c>
      <c r="F90" s="26" t="s">
        <v>55</v>
      </c>
      <c r="G90" s="44" t="s">
        <v>770</v>
      </c>
      <c r="H90" s="26" t="s">
        <v>57</v>
      </c>
      <c r="I90" s="44" t="s">
        <v>770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3">
        <v>46196</v>
      </c>
      <c r="O90" s="26" t="s">
        <v>55</v>
      </c>
      <c r="P90" s="44" t="s">
        <v>770</v>
      </c>
      <c r="Q90" s="26" t="s">
        <v>57</v>
      </c>
      <c r="R90" s="44" t="s">
        <v>770</v>
      </c>
      <c r="S90" s="26" t="s">
        <v>56</v>
      </c>
      <c r="T90" s="27"/>
      <c r="U90" s="28" t="s">
        <v>57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4789</v>
      </c>
      <c r="C91" s="25" t="s">
        <v>4790</v>
      </c>
      <c r="D91" s="23" t="s">
        <v>4618</v>
      </c>
      <c r="E91" s="43">
        <v>46125</v>
      </c>
      <c r="F91" s="26" t="s">
        <v>55</v>
      </c>
      <c r="G91" s="44" t="s">
        <v>770</v>
      </c>
      <c r="H91" s="26" t="s">
        <v>57</v>
      </c>
      <c r="I91" s="44" t="s">
        <v>770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3">
        <v>46196</v>
      </c>
      <c r="O91" s="26" t="s">
        <v>55</v>
      </c>
      <c r="P91" s="44" t="s">
        <v>770</v>
      </c>
      <c r="Q91" s="26" t="s">
        <v>57</v>
      </c>
      <c r="R91" s="44" t="s">
        <v>770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4791</v>
      </c>
      <c r="C92" s="41" t="s">
        <v>4792</v>
      </c>
      <c r="D92" s="39" t="s">
        <v>4618</v>
      </c>
      <c r="E92" s="43">
        <v>46125</v>
      </c>
      <c r="F92" s="26" t="s">
        <v>55</v>
      </c>
      <c r="G92" s="44" t="s">
        <v>770</v>
      </c>
      <c r="H92" s="26" t="s">
        <v>57</v>
      </c>
      <c r="I92" s="44" t="s">
        <v>770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3">
        <v>46196</v>
      </c>
      <c r="O92" s="26" t="s">
        <v>55</v>
      </c>
      <c r="P92" s="44" t="s">
        <v>770</v>
      </c>
      <c r="Q92" s="26" t="s">
        <v>57</v>
      </c>
      <c r="R92" s="44" t="s">
        <v>770</v>
      </c>
      <c r="S92" s="26" t="s">
        <v>56</v>
      </c>
      <c r="T92" s="27"/>
      <c r="U92" s="28" t="s">
        <v>57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4793</v>
      </c>
      <c r="C93" s="25" t="s">
        <v>4794</v>
      </c>
      <c r="D93" s="23" t="s">
        <v>4618</v>
      </c>
      <c r="E93" s="43">
        <v>46125</v>
      </c>
      <c r="F93" s="26" t="s">
        <v>55</v>
      </c>
      <c r="G93" s="44" t="s">
        <v>770</v>
      </c>
      <c r="H93" s="26" t="s">
        <v>57</v>
      </c>
      <c r="I93" s="44" t="s">
        <v>770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3">
        <v>46196</v>
      </c>
      <c r="O93" s="26" t="s">
        <v>55</v>
      </c>
      <c r="P93" s="44" t="s">
        <v>770</v>
      </c>
      <c r="Q93" s="26" t="s">
        <v>57</v>
      </c>
      <c r="R93" s="44" t="s">
        <v>770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4795</v>
      </c>
      <c r="C94" s="41" t="s">
        <v>4796</v>
      </c>
      <c r="D94" s="39" t="s">
        <v>4618</v>
      </c>
      <c r="E94" s="43">
        <v>46125</v>
      </c>
      <c r="F94" s="26" t="s">
        <v>55</v>
      </c>
      <c r="G94" s="44" t="s">
        <v>770</v>
      </c>
      <c r="H94" s="26" t="s">
        <v>57</v>
      </c>
      <c r="I94" s="44" t="s">
        <v>770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3">
        <v>46196</v>
      </c>
      <c r="O94" s="26" t="s">
        <v>55</v>
      </c>
      <c r="P94" s="44" t="s">
        <v>770</v>
      </c>
      <c r="Q94" s="26" t="s">
        <v>57</v>
      </c>
      <c r="R94" s="44" t="s">
        <v>770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4797</v>
      </c>
      <c r="C95" s="25" t="s">
        <v>4798</v>
      </c>
      <c r="D95" s="23" t="s">
        <v>4618</v>
      </c>
      <c r="E95" s="43">
        <v>46125</v>
      </c>
      <c r="F95" s="26" t="s">
        <v>55</v>
      </c>
      <c r="G95" s="44" t="s">
        <v>770</v>
      </c>
      <c r="H95" s="26" t="s">
        <v>57</v>
      </c>
      <c r="I95" s="44" t="s">
        <v>770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3">
        <v>46196</v>
      </c>
      <c r="O95" s="26" t="s">
        <v>55</v>
      </c>
      <c r="P95" s="44" t="s">
        <v>770</v>
      </c>
      <c r="Q95" s="26" t="s">
        <v>57</v>
      </c>
      <c r="R95" s="44" t="s">
        <v>770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4799</v>
      </c>
      <c r="C96" s="41" t="s">
        <v>4800</v>
      </c>
      <c r="D96" s="39" t="s">
        <v>4618</v>
      </c>
      <c r="E96" s="43">
        <v>46125</v>
      </c>
      <c r="F96" s="26" t="s">
        <v>55</v>
      </c>
      <c r="G96" s="44" t="s">
        <v>770</v>
      </c>
      <c r="H96" s="26" t="s">
        <v>57</v>
      </c>
      <c r="I96" s="44" t="s">
        <v>770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3">
        <v>46196</v>
      </c>
      <c r="O96" s="26" t="s">
        <v>55</v>
      </c>
      <c r="P96" s="44" t="s">
        <v>770</v>
      </c>
      <c r="Q96" s="26" t="s">
        <v>57</v>
      </c>
      <c r="R96" s="44" t="s">
        <v>770</v>
      </c>
      <c r="S96" s="26" t="s">
        <v>56</v>
      </c>
      <c r="T96" s="27"/>
      <c r="U96" s="28" t="s">
        <v>57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4801</v>
      </c>
      <c r="C97" s="25" t="s">
        <v>4802</v>
      </c>
      <c r="D97" s="23" t="s">
        <v>4618</v>
      </c>
      <c r="E97" s="43">
        <v>46125</v>
      </c>
      <c r="F97" s="26" t="s">
        <v>55</v>
      </c>
      <c r="G97" s="44" t="s">
        <v>770</v>
      </c>
      <c r="H97" s="26" t="s">
        <v>57</v>
      </c>
      <c r="I97" s="44" t="s">
        <v>770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3">
        <v>46196</v>
      </c>
      <c r="O97" s="26" t="s">
        <v>55</v>
      </c>
      <c r="P97" s="44" t="s">
        <v>770</v>
      </c>
      <c r="Q97" s="26" t="s">
        <v>57</v>
      </c>
      <c r="R97" s="44" t="s">
        <v>770</v>
      </c>
      <c r="S97" s="26" t="s">
        <v>56</v>
      </c>
      <c r="T97" s="27"/>
      <c r="U97" s="28" t="s">
        <v>57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4803</v>
      </c>
      <c r="C98" s="41" t="s">
        <v>4804</v>
      </c>
      <c r="D98" s="39" t="s">
        <v>4618</v>
      </c>
      <c r="E98" s="43">
        <v>46125</v>
      </c>
      <c r="F98" s="26" t="s">
        <v>55</v>
      </c>
      <c r="G98" s="44" t="s">
        <v>56</v>
      </c>
      <c r="H98" s="26" t="s">
        <v>57</v>
      </c>
      <c r="I98" s="44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3">
        <v>46196</v>
      </c>
      <c r="O98" s="26" t="s">
        <v>55</v>
      </c>
      <c r="P98" s="44" t="s">
        <v>56</v>
      </c>
      <c r="Q98" s="26" t="s">
        <v>57</v>
      </c>
      <c r="R98" s="44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4805</v>
      </c>
      <c r="C99" s="25" t="s">
        <v>4806</v>
      </c>
      <c r="D99" s="23" t="s">
        <v>4618</v>
      </c>
      <c r="E99" s="43">
        <v>46125</v>
      </c>
      <c r="F99" s="26" t="s">
        <v>55</v>
      </c>
      <c r="G99" s="44" t="s">
        <v>770</v>
      </c>
      <c r="H99" s="26" t="s">
        <v>57</v>
      </c>
      <c r="I99" s="44" t="s">
        <v>770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3">
        <v>46196</v>
      </c>
      <c r="O99" s="26" t="s">
        <v>55</v>
      </c>
      <c r="P99" s="44" t="s">
        <v>770</v>
      </c>
      <c r="Q99" s="26" t="s">
        <v>57</v>
      </c>
      <c r="R99" s="44" t="s">
        <v>770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4807</v>
      </c>
      <c r="C100" s="41" t="s">
        <v>4808</v>
      </c>
      <c r="D100" s="39" t="s">
        <v>4618</v>
      </c>
      <c r="E100" s="43">
        <v>46125</v>
      </c>
      <c r="F100" s="26" t="s">
        <v>55</v>
      </c>
      <c r="G100" s="44" t="s">
        <v>56</v>
      </c>
      <c r="H100" s="26" t="s">
        <v>57</v>
      </c>
      <c r="I100" s="44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3">
        <v>46196</v>
      </c>
      <c r="O100" s="26" t="s">
        <v>55</v>
      </c>
      <c r="P100" s="44" t="s">
        <v>56</v>
      </c>
      <c r="Q100" s="26" t="s">
        <v>57</v>
      </c>
      <c r="R100" s="44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4809</v>
      </c>
      <c r="C101" s="25" t="s">
        <v>4810</v>
      </c>
      <c r="D101" s="23" t="s">
        <v>4618</v>
      </c>
      <c r="E101" s="43">
        <v>46125</v>
      </c>
      <c r="F101" s="26" t="s">
        <v>55</v>
      </c>
      <c r="G101" s="44" t="s">
        <v>770</v>
      </c>
      <c r="H101" s="26" t="s">
        <v>57</v>
      </c>
      <c r="I101" s="44" t="s">
        <v>770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3">
        <v>46196</v>
      </c>
      <c r="O101" s="26" t="s">
        <v>55</v>
      </c>
      <c r="P101" s="44" t="s">
        <v>770</v>
      </c>
      <c r="Q101" s="26" t="s">
        <v>57</v>
      </c>
      <c r="R101" s="44" t="s">
        <v>770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4811</v>
      </c>
      <c r="C102" s="41" t="s">
        <v>4812</v>
      </c>
      <c r="D102" s="39" t="s">
        <v>4618</v>
      </c>
      <c r="E102" s="43">
        <v>46125</v>
      </c>
      <c r="F102" s="26" t="s">
        <v>55</v>
      </c>
      <c r="G102" s="44" t="s">
        <v>770</v>
      </c>
      <c r="H102" s="26" t="s">
        <v>57</v>
      </c>
      <c r="I102" s="44" t="s">
        <v>770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3">
        <v>46196</v>
      </c>
      <c r="O102" s="26" t="s">
        <v>55</v>
      </c>
      <c r="P102" s="44" t="s">
        <v>770</v>
      </c>
      <c r="Q102" s="26" t="s">
        <v>57</v>
      </c>
      <c r="R102" s="44" t="s">
        <v>770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4813</v>
      </c>
      <c r="C103" s="25" t="s">
        <v>4814</v>
      </c>
      <c r="D103" s="23" t="s">
        <v>4618</v>
      </c>
      <c r="E103" s="43">
        <v>46125</v>
      </c>
      <c r="F103" s="26" t="s">
        <v>55</v>
      </c>
      <c r="G103" s="44" t="s">
        <v>770</v>
      </c>
      <c r="H103" s="26" t="s">
        <v>57</v>
      </c>
      <c r="I103" s="44" t="s">
        <v>770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3">
        <v>46196</v>
      </c>
      <c r="O103" s="26" t="s">
        <v>55</v>
      </c>
      <c r="P103" s="44" t="s">
        <v>770</v>
      </c>
      <c r="Q103" s="26" t="s">
        <v>57</v>
      </c>
      <c r="R103" s="44" t="s">
        <v>770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4815</v>
      </c>
      <c r="C104" s="41" t="s">
        <v>4816</v>
      </c>
      <c r="D104" s="39" t="s">
        <v>4618</v>
      </c>
      <c r="E104" s="43">
        <v>46125</v>
      </c>
      <c r="F104" s="26" t="s">
        <v>55</v>
      </c>
      <c r="G104" s="44" t="s">
        <v>770</v>
      </c>
      <c r="H104" s="26" t="s">
        <v>57</v>
      </c>
      <c r="I104" s="44" t="s">
        <v>770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3">
        <v>46196</v>
      </c>
      <c r="O104" s="26" t="s">
        <v>55</v>
      </c>
      <c r="P104" s="44" t="s">
        <v>770</v>
      </c>
      <c r="Q104" s="26" t="s">
        <v>57</v>
      </c>
      <c r="R104" s="44" t="s">
        <v>770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4817</v>
      </c>
      <c r="C105" s="25" t="s">
        <v>4818</v>
      </c>
      <c r="D105" s="23" t="s">
        <v>4618</v>
      </c>
      <c r="E105" s="43">
        <v>46125</v>
      </c>
      <c r="F105" s="26" t="s">
        <v>55</v>
      </c>
      <c r="G105" s="44" t="s">
        <v>770</v>
      </c>
      <c r="H105" s="26" t="s">
        <v>57</v>
      </c>
      <c r="I105" s="44" t="s">
        <v>770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3">
        <v>46196</v>
      </c>
      <c r="O105" s="26" t="s">
        <v>55</v>
      </c>
      <c r="P105" s="44" t="s">
        <v>770</v>
      </c>
      <c r="Q105" s="26" t="s">
        <v>57</v>
      </c>
      <c r="R105" s="44" t="s">
        <v>770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4819</v>
      </c>
      <c r="C106" s="41" t="s">
        <v>4820</v>
      </c>
      <c r="D106" s="39" t="s">
        <v>4618</v>
      </c>
      <c r="E106" s="43">
        <v>46125</v>
      </c>
      <c r="F106" s="26" t="s">
        <v>55</v>
      </c>
      <c r="G106" s="44" t="s">
        <v>56</v>
      </c>
      <c r="H106" s="26" t="s">
        <v>57</v>
      </c>
      <c r="I106" s="44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3">
        <v>46196</v>
      </c>
      <c r="O106" s="26" t="s">
        <v>55</v>
      </c>
      <c r="P106" s="44" t="s">
        <v>56</v>
      </c>
      <c r="Q106" s="26" t="s">
        <v>57</v>
      </c>
      <c r="R106" s="44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4821</v>
      </c>
      <c r="C107" s="25" t="s">
        <v>4822</v>
      </c>
      <c r="D107" s="23" t="s">
        <v>4618</v>
      </c>
      <c r="E107" s="43">
        <v>46125</v>
      </c>
      <c r="F107" s="26" t="s">
        <v>55</v>
      </c>
      <c r="G107" s="44" t="s">
        <v>770</v>
      </c>
      <c r="H107" s="26" t="s">
        <v>57</v>
      </c>
      <c r="I107" s="44" t="s">
        <v>770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3">
        <v>46196</v>
      </c>
      <c r="O107" s="26" t="s">
        <v>55</v>
      </c>
      <c r="P107" s="44" t="s">
        <v>770</v>
      </c>
      <c r="Q107" s="26" t="s">
        <v>57</v>
      </c>
      <c r="R107" s="44" t="s">
        <v>770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4823</v>
      </c>
      <c r="C108" s="41" t="s">
        <v>4824</v>
      </c>
      <c r="D108" s="39" t="s">
        <v>4618</v>
      </c>
      <c r="E108" s="43">
        <v>46125</v>
      </c>
      <c r="F108" s="26" t="s">
        <v>55</v>
      </c>
      <c r="G108" s="44" t="s">
        <v>770</v>
      </c>
      <c r="H108" s="26" t="s">
        <v>57</v>
      </c>
      <c r="I108" s="44" t="s">
        <v>770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3">
        <v>46196</v>
      </c>
      <c r="O108" s="26" t="s">
        <v>55</v>
      </c>
      <c r="P108" s="44" t="s">
        <v>770</v>
      </c>
      <c r="Q108" s="26" t="s">
        <v>57</v>
      </c>
      <c r="R108" s="44" t="s">
        <v>770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4825</v>
      </c>
      <c r="C109" s="25" t="s">
        <v>4826</v>
      </c>
      <c r="D109" s="23" t="s">
        <v>4618</v>
      </c>
      <c r="E109" s="43">
        <v>46125</v>
      </c>
      <c r="F109" s="26" t="s">
        <v>55</v>
      </c>
      <c r="G109" s="44" t="s">
        <v>56</v>
      </c>
      <c r="H109" s="26" t="s">
        <v>57</v>
      </c>
      <c r="I109" s="44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3">
        <v>46196</v>
      </c>
      <c r="O109" s="26" t="s">
        <v>55</v>
      </c>
      <c r="P109" s="44" t="s">
        <v>56</v>
      </c>
      <c r="Q109" s="26" t="s">
        <v>57</v>
      </c>
      <c r="R109" s="44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4827</v>
      </c>
      <c r="C110" s="41" t="s">
        <v>4828</v>
      </c>
      <c r="D110" s="39" t="s">
        <v>4618</v>
      </c>
      <c r="E110" s="43">
        <v>46125</v>
      </c>
      <c r="F110" s="26" t="s">
        <v>55</v>
      </c>
      <c r="G110" s="44" t="s">
        <v>770</v>
      </c>
      <c r="H110" s="26" t="s">
        <v>57</v>
      </c>
      <c r="I110" s="44" t="s">
        <v>770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3">
        <v>46196</v>
      </c>
      <c r="O110" s="26" t="s">
        <v>55</v>
      </c>
      <c r="P110" s="44" t="s">
        <v>770</v>
      </c>
      <c r="Q110" s="26" t="s">
        <v>57</v>
      </c>
      <c r="R110" s="44" t="s">
        <v>770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4829</v>
      </c>
      <c r="C111" s="25" t="s">
        <v>4830</v>
      </c>
      <c r="D111" s="23" t="s">
        <v>4618</v>
      </c>
      <c r="E111" s="43">
        <v>46125</v>
      </c>
      <c r="F111" s="26" t="s">
        <v>55</v>
      </c>
      <c r="G111" s="44" t="s">
        <v>770</v>
      </c>
      <c r="H111" s="26" t="s">
        <v>57</v>
      </c>
      <c r="I111" s="44" t="s">
        <v>770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3">
        <v>46196</v>
      </c>
      <c r="O111" s="26" t="s">
        <v>55</v>
      </c>
      <c r="P111" s="44" t="s">
        <v>770</v>
      </c>
      <c r="Q111" s="26" t="s">
        <v>57</v>
      </c>
      <c r="R111" s="44" t="s">
        <v>770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4831</v>
      </c>
      <c r="C112" s="41" t="s">
        <v>4832</v>
      </c>
      <c r="D112" s="39" t="s">
        <v>4618</v>
      </c>
      <c r="E112" s="43">
        <v>46125</v>
      </c>
      <c r="F112" s="26" t="s">
        <v>55</v>
      </c>
      <c r="G112" s="44" t="s">
        <v>56</v>
      </c>
      <c r="H112" s="26" t="s">
        <v>57</v>
      </c>
      <c r="I112" s="44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3">
        <v>46196</v>
      </c>
      <c r="O112" s="26" t="s">
        <v>55</v>
      </c>
      <c r="P112" s="44" t="s">
        <v>56</v>
      </c>
      <c r="Q112" s="26" t="s">
        <v>57</v>
      </c>
      <c r="R112" s="44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4833</v>
      </c>
      <c r="C113" s="25" t="s">
        <v>4834</v>
      </c>
      <c r="D113" s="23" t="s">
        <v>4618</v>
      </c>
      <c r="E113" s="43">
        <v>46125</v>
      </c>
      <c r="F113" s="26" t="s">
        <v>55</v>
      </c>
      <c r="G113" s="44" t="s">
        <v>770</v>
      </c>
      <c r="H113" s="26" t="s">
        <v>57</v>
      </c>
      <c r="I113" s="44" t="s">
        <v>770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3">
        <v>46196</v>
      </c>
      <c r="O113" s="26" t="s">
        <v>55</v>
      </c>
      <c r="P113" s="44" t="s">
        <v>770</v>
      </c>
      <c r="Q113" s="26" t="s">
        <v>57</v>
      </c>
      <c r="R113" s="44" t="s">
        <v>770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4835</v>
      </c>
      <c r="C114" s="41" t="s">
        <v>4836</v>
      </c>
      <c r="D114" s="39" t="s">
        <v>4618</v>
      </c>
      <c r="E114" s="43">
        <v>46125</v>
      </c>
      <c r="F114" s="26" t="s">
        <v>55</v>
      </c>
      <c r="G114" s="44" t="s">
        <v>770</v>
      </c>
      <c r="H114" s="26" t="s">
        <v>57</v>
      </c>
      <c r="I114" s="44" t="s">
        <v>770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3">
        <v>46196</v>
      </c>
      <c r="O114" s="26" t="s">
        <v>55</v>
      </c>
      <c r="P114" s="44" t="s">
        <v>770</v>
      </c>
      <c r="Q114" s="26" t="s">
        <v>57</v>
      </c>
      <c r="R114" s="44" t="s">
        <v>770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4837</v>
      </c>
      <c r="C115" s="25" t="s">
        <v>4838</v>
      </c>
      <c r="D115" s="23" t="s">
        <v>4618</v>
      </c>
      <c r="E115" s="43">
        <v>46125</v>
      </c>
      <c r="F115" s="26" t="s">
        <v>55</v>
      </c>
      <c r="G115" s="44" t="s">
        <v>770</v>
      </c>
      <c r="H115" s="26" t="s">
        <v>57</v>
      </c>
      <c r="I115" s="44" t="s">
        <v>770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3">
        <v>46196</v>
      </c>
      <c r="O115" s="26" t="s">
        <v>55</v>
      </c>
      <c r="P115" s="44" t="s">
        <v>770</v>
      </c>
      <c r="Q115" s="26" t="s">
        <v>57</v>
      </c>
      <c r="R115" s="44" t="s">
        <v>770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4839</v>
      </c>
      <c r="C116" s="41" t="s">
        <v>4840</v>
      </c>
      <c r="D116" s="39" t="s">
        <v>4618</v>
      </c>
      <c r="E116" s="43">
        <v>46125</v>
      </c>
      <c r="F116" s="26" t="s">
        <v>55</v>
      </c>
      <c r="G116" s="44" t="s">
        <v>770</v>
      </c>
      <c r="H116" s="26" t="s">
        <v>57</v>
      </c>
      <c r="I116" s="44" t="s">
        <v>770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3">
        <v>46196</v>
      </c>
      <c r="O116" s="26" t="s">
        <v>55</v>
      </c>
      <c r="P116" s="44" t="s">
        <v>770</v>
      </c>
      <c r="Q116" s="26" t="s">
        <v>57</v>
      </c>
      <c r="R116" s="44" t="s">
        <v>770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4841</v>
      </c>
      <c r="C117" s="25" t="s">
        <v>4842</v>
      </c>
      <c r="D117" s="23" t="s">
        <v>4618</v>
      </c>
      <c r="E117" s="43">
        <v>46125</v>
      </c>
      <c r="F117" s="26" t="s">
        <v>55</v>
      </c>
      <c r="G117" s="44" t="s">
        <v>770</v>
      </c>
      <c r="H117" s="26" t="s">
        <v>57</v>
      </c>
      <c r="I117" s="44" t="s">
        <v>770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3">
        <v>46196</v>
      </c>
      <c r="O117" s="26" t="s">
        <v>55</v>
      </c>
      <c r="P117" s="44" t="s">
        <v>770</v>
      </c>
      <c r="Q117" s="26" t="s">
        <v>57</v>
      </c>
      <c r="R117" s="44" t="s">
        <v>770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4843</v>
      </c>
      <c r="C118" s="41" t="s">
        <v>4844</v>
      </c>
      <c r="D118" s="39" t="s">
        <v>4618</v>
      </c>
      <c r="E118" s="43">
        <v>46125</v>
      </c>
      <c r="F118" s="26" t="s">
        <v>55</v>
      </c>
      <c r="G118" s="44" t="s">
        <v>770</v>
      </c>
      <c r="H118" s="26" t="s">
        <v>57</v>
      </c>
      <c r="I118" s="44" t="s">
        <v>770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3">
        <v>46196</v>
      </c>
      <c r="O118" s="26" t="s">
        <v>55</v>
      </c>
      <c r="P118" s="44" t="s">
        <v>770</v>
      </c>
      <c r="Q118" s="26" t="s">
        <v>57</v>
      </c>
      <c r="R118" s="44" t="s">
        <v>770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4845</v>
      </c>
      <c r="C119" s="25" t="s">
        <v>4846</v>
      </c>
      <c r="D119" s="23" t="s">
        <v>4618</v>
      </c>
      <c r="E119" s="43">
        <v>46125</v>
      </c>
      <c r="F119" s="26" t="s">
        <v>55</v>
      </c>
      <c r="G119" s="44" t="s">
        <v>770</v>
      </c>
      <c r="H119" s="26" t="s">
        <v>57</v>
      </c>
      <c r="I119" s="44" t="s">
        <v>770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3">
        <v>46196</v>
      </c>
      <c r="O119" s="26" t="s">
        <v>55</v>
      </c>
      <c r="P119" s="44" t="s">
        <v>770</v>
      </c>
      <c r="Q119" s="26" t="s">
        <v>57</v>
      </c>
      <c r="R119" s="44" t="s">
        <v>770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4847</v>
      </c>
      <c r="C120" s="41" t="s">
        <v>4848</v>
      </c>
      <c r="D120" s="39" t="s">
        <v>4618</v>
      </c>
      <c r="E120" s="43">
        <v>46125</v>
      </c>
      <c r="F120" s="26" t="s">
        <v>55</v>
      </c>
      <c r="G120" s="44" t="s">
        <v>770</v>
      </c>
      <c r="H120" s="26" t="s">
        <v>57</v>
      </c>
      <c r="I120" s="44" t="s">
        <v>770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3">
        <v>46196</v>
      </c>
      <c r="O120" s="26" t="s">
        <v>55</v>
      </c>
      <c r="P120" s="44" t="s">
        <v>770</v>
      </c>
      <c r="Q120" s="26" t="s">
        <v>57</v>
      </c>
      <c r="R120" s="44" t="s">
        <v>770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4849</v>
      </c>
      <c r="C121" s="25" t="s">
        <v>4850</v>
      </c>
      <c r="D121" s="23" t="s">
        <v>4618</v>
      </c>
      <c r="E121" s="43">
        <v>46125</v>
      </c>
      <c r="F121" s="26" t="s">
        <v>55</v>
      </c>
      <c r="G121" s="44" t="s">
        <v>770</v>
      </c>
      <c r="H121" s="26" t="s">
        <v>57</v>
      </c>
      <c r="I121" s="44" t="s">
        <v>770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3">
        <v>46196</v>
      </c>
      <c r="O121" s="26" t="s">
        <v>55</v>
      </c>
      <c r="P121" s="44" t="s">
        <v>770</v>
      </c>
      <c r="Q121" s="26" t="s">
        <v>57</v>
      </c>
      <c r="R121" s="44" t="s">
        <v>770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4851</v>
      </c>
      <c r="C122" s="41" t="s">
        <v>4852</v>
      </c>
      <c r="D122" s="39" t="s">
        <v>4618</v>
      </c>
      <c r="E122" s="43">
        <v>46125</v>
      </c>
      <c r="F122" s="26" t="s">
        <v>55</v>
      </c>
      <c r="G122" s="44" t="s">
        <v>770</v>
      </c>
      <c r="H122" s="26" t="s">
        <v>57</v>
      </c>
      <c r="I122" s="44" t="s">
        <v>770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3">
        <v>46196</v>
      </c>
      <c r="O122" s="26" t="s">
        <v>55</v>
      </c>
      <c r="P122" s="44" t="s">
        <v>770</v>
      </c>
      <c r="Q122" s="26" t="s">
        <v>57</v>
      </c>
      <c r="R122" s="44" t="s">
        <v>770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4853</v>
      </c>
      <c r="C123" s="25" t="s">
        <v>4854</v>
      </c>
      <c r="D123" s="23" t="s">
        <v>4618</v>
      </c>
      <c r="E123" s="43">
        <v>46125</v>
      </c>
      <c r="F123" s="26" t="s">
        <v>55</v>
      </c>
      <c r="G123" s="44" t="s">
        <v>770</v>
      </c>
      <c r="H123" s="26" t="s">
        <v>57</v>
      </c>
      <c r="I123" s="44" t="s">
        <v>770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3">
        <v>46196</v>
      </c>
      <c r="O123" s="26" t="s">
        <v>55</v>
      </c>
      <c r="P123" s="44" t="s">
        <v>770</v>
      </c>
      <c r="Q123" s="26" t="s">
        <v>57</v>
      </c>
      <c r="R123" s="44" t="s">
        <v>770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4855</v>
      </c>
      <c r="C124" s="41" t="s">
        <v>4856</v>
      </c>
      <c r="D124" s="39" t="s">
        <v>4618</v>
      </c>
      <c r="E124" s="43">
        <v>46125</v>
      </c>
      <c r="F124" s="26" t="s">
        <v>55</v>
      </c>
      <c r="G124" s="44" t="s">
        <v>770</v>
      </c>
      <c r="H124" s="26" t="s">
        <v>57</v>
      </c>
      <c r="I124" s="44" t="s">
        <v>770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3">
        <v>46196</v>
      </c>
      <c r="O124" s="26" t="s">
        <v>55</v>
      </c>
      <c r="P124" s="44" t="s">
        <v>770</v>
      </c>
      <c r="Q124" s="26" t="s">
        <v>57</v>
      </c>
      <c r="R124" s="44" t="s">
        <v>770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4857</v>
      </c>
      <c r="C125" s="25" t="s">
        <v>4858</v>
      </c>
      <c r="D125" s="23" t="s">
        <v>4618</v>
      </c>
      <c r="E125" s="43">
        <v>46125</v>
      </c>
      <c r="F125" s="26" t="s">
        <v>55</v>
      </c>
      <c r="G125" s="44" t="s">
        <v>770</v>
      </c>
      <c r="H125" s="26" t="s">
        <v>57</v>
      </c>
      <c r="I125" s="44" t="s">
        <v>770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3">
        <v>46196</v>
      </c>
      <c r="O125" s="26" t="s">
        <v>55</v>
      </c>
      <c r="P125" s="44" t="s">
        <v>770</v>
      </c>
      <c r="Q125" s="26" t="s">
        <v>57</v>
      </c>
      <c r="R125" s="44" t="s">
        <v>770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4859</v>
      </c>
      <c r="C126" s="41" t="s">
        <v>4860</v>
      </c>
      <c r="D126" s="39" t="s">
        <v>4618</v>
      </c>
      <c r="E126" s="43">
        <v>46125</v>
      </c>
      <c r="F126" s="26" t="s">
        <v>55</v>
      </c>
      <c r="G126" s="44" t="s">
        <v>56</v>
      </c>
      <c r="H126" s="26" t="s">
        <v>57</v>
      </c>
      <c r="I126" s="44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3">
        <v>46196</v>
      </c>
      <c r="O126" s="26" t="s">
        <v>55</v>
      </c>
      <c r="P126" s="44" t="s">
        <v>56</v>
      </c>
      <c r="Q126" s="26" t="s">
        <v>57</v>
      </c>
      <c r="R126" s="44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4861</v>
      </c>
      <c r="C127" s="25" t="s">
        <v>4862</v>
      </c>
      <c r="D127" s="23" t="s">
        <v>4618</v>
      </c>
      <c r="E127" s="43">
        <v>46125</v>
      </c>
      <c r="F127" s="26" t="s">
        <v>55</v>
      </c>
      <c r="G127" s="44" t="s">
        <v>770</v>
      </c>
      <c r="H127" s="26" t="s">
        <v>57</v>
      </c>
      <c r="I127" s="44" t="s">
        <v>770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3">
        <v>46196</v>
      </c>
      <c r="O127" s="26" t="s">
        <v>55</v>
      </c>
      <c r="P127" s="44" t="s">
        <v>770</v>
      </c>
      <c r="Q127" s="26" t="s">
        <v>57</v>
      </c>
      <c r="R127" s="44" t="s">
        <v>770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4863</v>
      </c>
      <c r="C128" s="41" t="s">
        <v>4864</v>
      </c>
      <c r="D128" s="39" t="s">
        <v>4618</v>
      </c>
      <c r="E128" s="43">
        <v>46125</v>
      </c>
      <c r="F128" s="26" t="s">
        <v>55</v>
      </c>
      <c r="G128" s="44" t="s">
        <v>56</v>
      </c>
      <c r="H128" s="26" t="s">
        <v>57</v>
      </c>
      <c r="I128" s="44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3">
        <v>46196</v>
      </c>
      <c r="O128" s="26" t="s">
        <v>55</v>
      </c>
      <c r="P128" s="44" t="s">
        <v>56</v>
      </c>
      <c r="Q128" s="26" t="s">
        <v>57</v>
      </c>
      <c r="R128" s="44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4865</v>
      </c>
      <c r="C129" s="25" t="s">
        <v>4866</v>
      </c>
      <c r="D129" s="23" t="s">
        <v>4618</v>
      </c>
      <c r="E129" s="43">
        <v>46125</v>
      </c>
      <c r="F129" s="26" t="s">
        <v>55</v>
      </c>
      <c r="G129" s="44" t="s">
        <v>770</v>
      </c>
      <c r="H129" s="26" t="s">
        <v>57</v>
      </c>
      <c r="I129" s="44" t="s">
        <v>770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3">
        <v>46196</v>
      </c>
      <c r="O129" s="26" t="s">
        <v>55</v>
      </c>
      <c r="P129" s="44" t="s">
        <v>770</v>
      </c>
      <c r="Q129" s="26" t="s">
        <v>57</v>
      </c>
      <c r="R129" s="44" t="s">
        <v>770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4867</v>
      </c>
      <c r="C130" s="41" t="s">
        <v>4868</v>
      </c>
      <c r="D130" s="39" t="s">
        <v>4618</v>
      </c>
      <c r="E130" s="43">
        <v>46125</v>
      </c>
      <c r="F130" s="26" t="s">
        <v>55</v>
      </c>
      <c r="G130" s="44" t="s">
        <v>56</v>
      </c>
      <c r="H130" s="26" t="s">
        <v>57</v>
      </c>
      <c r="I130" s="44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3">
        <v>46196</v>
      </c>
      <c r="O130" s="26" t="s">
        <v>55</v>
      </c>
      <c r="P130" s="44" t="s">
        <v>56</v>
      </c>
      <c r="Q130" s="26" t="s">
        <v>57</v>
      </c>
      <c r="R130" s="44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4869</v>
      </c>
      <c r="C131" s="25" t="s">
        <v>4870</v>
      </c>
      <c r="D131" s="23" t="s">
        <v>4618</v>
      </c>
      <c r="E131" s="43">
        <v>46125</v>
      </c>
      <c r="F131" s="26" t="s">
        <v>55</v>
      </c>
      <c r="G131" s="44" t="s">
        <v>770</v>
      </c>
      <c r="H131" s="26" t="s">
        <v>57</v>
      </c>
      <c r="I131" s="44" t="s">
        <v>770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3">
        <v>46196</v>
      </c>
      <c r="O131" s="26" t="s">
        <v>55</v>
      </c>
      <c r="P131" s="44" t="s">
        <v>770</v>
      </c>
      <c r="Q131" s="26" t="s">
        <v>57</v>
      </c>
      <c r="R131" s="44" t="s">
        <v>770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4871</v>
      </c>
      <c r="C132" s="41" t="s">
        <v>4872</v>
      </c>
      <c r="D132" s="39" t="s">
        <v>4618</v>
      </c>
      <c r="E132" s="43">
        <v>46125</v>
      </c>
      <c r="F132" s="26" t="s">
        <v>55</v>
      </c>
      <c r="G132" s="44" t="s">
        <v>770</v>
      </c>
      <c r="H132" s="26" t="s">
        <v>57</v>
      </c>
      <c r="I132" s="44" t="s">
        <v>770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3">
        <v>46196</v>
      </c>
      <c r="O132" s="26" t="s">
        <v>55</v>
      </c>
      <c r="P132" s="44" t="s">
        <v>770</v>
      </c>
      <c r="Q132" s="26" t="s">
        <v>57</v>
      </c>
      <c r="R132" s="44" t="s">
        <v>770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4873</v>
      </c>
      <c r="C133" s="25" t="s">
        <v>4874</v>
      </c>
      <c r="D133" s="23" t="s">
        <v>4618</v>
      </c>
      <c r="E133" s="43">
        <v>46125</v>
      </c>
      <c r="F133" s="26" t="s">
        <v>55</v>
      </c>
      <c r="G133" s="44" t="s">
        <v>770</v>
      </c>
      <c r="H133" s="26" t="s">
        <v>57</v>
      </c>
      <c r="I133" s="44" t="s">
        <v>770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3">
        <v>46196</v>
      </c>
      <c r="O133" s="26" t="s">
        <v>55</v>
      </c>
      <c r="P133" s="44" t="s">
        <v>770</v>
      </c>
      <c r="Q133" s="26" t="s">
        <v>57</v>
      </c>
      <c r="R133" s="44" t="s">
        <v>770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4875</v>
      </c>
      <c r="C134" s="41" t="s">
        <v>4876</v>
      </c>
      <c r="D134" s="39" t="s">
        <v>4618</v>
      </c>
      <c r="E134" s="43">
        <v>46125</v>
      </c>
      <c r="F134" s="26" t="s">
        <v>55</v>
      </c>
      <c r="G134" s="44" t="s">
        <v>770</v>
      </c>
      <c r="H134" s="26" t="s">
        <v>57</v>
      </c>
      <c r="I134" s="44" t="s">
        <v>770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3">
        <v>46196</v>
      </c>
      <c r="O134" s="26" t="s">
        <v>55</v>
      </c>
      <c r="P134" s="44" t="s">
        <v>770</v>
      </c>
      <c r="Q134" s="26" t="s">
        <v>57</v>
      </c>
      <c r="R134" s="44" t="s">
        <v>770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4877</v>
      </c>
      <c r="C135" s="25" t="s">
        <v>4878</v>
      </c>
      <c r="D135" s="23" t="s">
        <v>4618</v>
      </c>
      <c r="E135" s="43">
        <v>46125</v>
      </c>
      <c r="F135" s="26" t="s">
        <v>55</v>
      </c>
      <c r="G135" s="44" t="s">
        <v>56</v>
      </c>
      <c r="H135" s="26" t="s">
        <v>57</v>
      </c>
      <c r="I135" s="44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3">
        <v>46196</v>
      </c>
      <c r="O135" s="26" t="s">
        <v>55</v>
      </c>
      <c r="P135" s="44" t="s">
        <v>56</v>
      </c>
      <c r="Q135" s="26" t="s">
        <v>57</v>
      </c>
      <c r="R135" s="44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4879</v>
      </c>
      <c r="C136" s="41" t="s">
        <v>4880</v>
      </c>
      <c r="D136" s="39" t="s">
        <v>4618</v>
      </c>
      <c r="E136" s="43">
        <v>46125</v>
      </c>
      <c r="F136" s="26" t="s">
        <v>55</v>
      </c>
      <c r="G136" s="44" t="s">
        <v>770</v>
      </c>
      <c r="H136" s="26" t="s">
        <v>57</v>
      </c>
      <c r="I136" s="44" t="s">
        <v>770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3">
        <v>46196</v>
      </c>
      <c r="O136" s="26" t="s">
        <v>55</v>
      </c>
      <c r="P136" s="44" t="s">
        <v>770</v>
      </c>
      <c r="Q136" s="26" t="s">
        <v>57</v>
      </c>
      <c r="R136" s="44" t="s">
        <v>770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4881</v>
      </c>
      <c r="C137" s="25" t="s">
        <v>4882</v>
      </c>
      <c r="D137" s="23" t="s">
        <v>4618</v>
      </c>
      <c r="E137" s="43">
        <v>46125</v>
      </c>
      <c r="F137" s="26" t="s">
        <v>55</v>
      </c>
      <c r="G137" s="44" t="s">
        <v>770</v>
      </c>
      <c r="H137" s="26" t="s">
        <v>57</v>
      </c>
      <c r="I137" s="44" t="s">
        <v>770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3">
        <v>46196</v>
      </c>
      <c r="O137" s="26" t="s">
        <v>55</v>
      </c>
      <c r="P137" s="44" t="s">
        <v>770</v>
      </c>
      <c r="Q137" s="26" t="s">
        <v>57</v>
      </c>
      <c r="R137" s="44" t="s">
        <v>770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4883</v>
      </c>
      <c r="C138" s="41" t="s">
        <v>4884</v>
      </c>
      <c r="D138" s="39" t="s">
        <v>4618</v>
      </c>
      <c r="E138" s="43">
        <v>46125</v>
      </c>
      <c r="F138" s="26" t="s">
        <v>55</v>
      </c>
      <c r="G138" s="44" t="s">
        <v>770</v>
      </c>
      <c r="H138" s="26" t="s">
        <v>57</v>
      </c>
      <c r="I138" s="44" t="s">
        <v>770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3">
        <v>46196</v>
      </c>
      <c r="O138" s="26" t="s">
        <v>55</v>
      </c>
      <c r="P138" s="44" t="s">
        <v>770</v>
      </c>
      <c r="Q138" s="26" t="s">
        <v>57</v>
      </c>
      <c r="R138" s="44" t="s">
        <v>770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4885</v>
      </c>
      <c r="C139" s="25" t="s">
        <v>4886</v>
      </c>
      <c r="D139" s="23" t="s">
        <v>4618</v>
      </c>
      <c r="E139" s="43">
        <v>46125</v>
      </c>
      <c r="F139" s="26" t="s">
        <v>55</v>
      </c>
      <c r="G139" s="44" t="s">
        <v>770</v>
      </c>
      <c r="H139" s="26" t="s">
        <v>57</v>
      </c>
      <c r="I139" s="44" t="s">
        <v>770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3">
        <v>46196</v>
      </c>
      <c r="O139" s="26" t="s">
        <v>55</v>
      </c>
      <c r="P139" s="44" t="s">
        <v>770</v>
      </c>
      <c r="Q139" s="26" t="s">
        <v>57</v>
      </c>
      <c r="R139" s="44" t="s">
        <v>770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4887</v>
      </c>
      <c r="C140" s="41" t="s">
        <v>4888</v>
      </c>
      <c r="D140" s="39" t="s">
        <v>4618</v>
      </c>
      <c r="E140" s="43">
        <v>46125</v>
      </c>
      <c r="F140" s="26" t="s">
        <v>55</v>
      </c>
      <c r="G140" s="44" t="s">
        <v>770</v>
      </c>
      <c r="H140" s="26" t="s">
        <v>57</v>
      </c>
      <c r="I140" s="44" t="s">
        <v>770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3">
        <v>46196</v>
      </c>
      <c r="O140" s="26" t="s">
        <v>55</v>
      </c>
      <c r="P140" s="44" t="s">
        <v>770</v>
      </c>
      <c r="Q140" s="26" t="s">
        <v>57</v>
      </c>
      <c r="R140" s="44" t="s">
        <v>770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4889</v>
      </c>
      <c r="C141" s="25" t="s">
        <v>4890</v>
      </c>
      <c r="D141" s="23" t="s">
        <v>4618</v>
      </c>
      <c r="E141" s="43">
        <v>46125</v>
      </c>
      <c r="F141" s="26" t="s">
        <v>55</v>
      </c>
      <c r="G141" s="44" t="s">
        <v>770</v>
      </c>
      <c r="H141" s="26" t="s">
        <v>57</v>
      </c>
      <c r="I141" s="44" t="s">
        <v>770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3">
        <v>46196</v>
      </c>
      <c r="O141" s="26" t="s">
        <v>55</v>
      </c>
      <c r="P141" s="44" t="s">
        <v>770</v>
      </c>
      <c r="Q141" s="26" t="s">
        <v>57</v>
      </c>
      <c r="R141" s="44" t="s">
        <v>770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4891</v>
      </c>
      <c r="C142" s="41" t="s">
        <v>4892</v>
      </c>
      <c r="D142" s="39" t="s">
        <v>4618</v>
      </c>
      <c r="E142" s="43">
        <v>46125</v>
      </c>
      <c r="F142" s="26" t="s">
        <v>55</v>
      </c>
      <c r="G142" s="44" t="s">
        <v>770</v>
      </c>
      <c r="H142" s="26" t="s">
        <v>57</v>
      </c>
      <c r="I142" s="44" t="s">
        <v>770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3">
        <v>46196</v>
      </c>
      <c r="O142" s="26" t="s">
        <v>55</v>
      </c>
      <c r="P142" s="44" t="s">
        <v>770</v>
      </c>
      <c r="Q142" s="26" t="s">
        <v>57</v>
      </c>
      <c r="R142" s="44" t="s">
        <v>770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4893</v>
      </c>
      <c r="C143" s="25" t="s">
        <v>4894</v>
      </c>
      <c r="D143" s="23" t="s">
        <v>4618</v>
      </c>
      <c r="E143" s="43">
        <v>46125</v>
      </c>
      <c r="F143" s="26" t="s">
        <v>55</v>
      </c>
      <c r="G143" s="44" t="s">
        <v>770</v>
      </c>
      <c r="H143" s="26" t="s">
        <v>57</v>
      </c>
      <c r="I143" s="44" t="s">
        <v>770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3">
        <v>46196</v>
      </c>
      <c r="O143" s="26" t="s">
        <v>55</v>
      </c>
      <c r="P143" s="44" t="s">
        <v>770</v>
      </c>
      <c r="Q143" s="26" t="s">
        <v>57</v>
      </c>
      <c r="R143" s="44" t="s">
        <v>770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4895</v>
      </c>
      <c r="C144" s="41" t="s">
        <v>4896</v>
      </c>
      <c r="D144" s="39" t="s">
        <v>4618</v>
      </c>
      <c r="E144" s="43">
        <v>46125</v>
      </c>
      <c r="F144" s="26" t="s">
        <v>55</v>
      </c>
      <c r="G144" s="44" t="s">
        <v>770</v>
      </c>
      <c r="H144" s="26" t="s">
        <v>57</v>
      </c>
      <c r="I144" s="44" t="s">
        <v>770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3">
        <v>46196</v>
      </c>
      <c r="O144" s="26" t="s">
        <v>55</v>
      </c>
      <c r="P144" s="44" t="s">
        <v>770</v>
      </c>
      <c r="Q144" s="26" t="s">
        <v>57</v>
      </c>
      <c r="R144" s="44" t="s">
        <v>770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4897</v>
      </c>
      <c r="C145" s="25" t="s">
        <v>4898</v>
      </c>
      <c r="D145" s="23" t="s">
        <v>4618</v>
      </c>
      <c r="E145" s="43">
        <v>46125</v>
      </c>
      <c r="F145" s="26" t="s">
        <v>55</v>
      </c>
      <c r="G145" s="44" t="s">
        <v>770</v>
      </c>
      <c r="H145" s="26" t="s">
        <v>57</v>
      </c>
      <c r="I145" s="44" t="s">
        <v>770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3">
        <v>46196</v>
      </c>
      <c r="O145" s="26" t="s">
        <v>55</v>
      </c>
      <c r="P145" s="44" t="s">
        <v>770</v>
      </c>
      <c r="Q145" s="26" t="s">
        <v>57</v>
      </c>
      <c r="R145" s="44" t="s">
        <v>770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4899</v>
      </c>
      <c r="C146" s="41" t="s">
        <v>4900</v>
      </c>
      <c r="D146" s="39" t="s">
        <v>4618</v>
      </c>
      <c r="E146" s="43">
        <v>46125</v>
      </c>
      <c r="F146" s="26" t="s">
        <v>55</v>
      </c>
      <c r="G146" s="44" t="s">
        <v>56</v>
      </c>
      <c r="H146" s="26" t="s">
        <v>57</v>
      </c>
      <c r="I146" s="44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3">
        <v>46196</v>
      </c>
      <c r="O146" s="26" t="s">
        <v>55</v>
      </c>
      <c r="P146" s="44" t="s">
        <v>56</v>
      </c>
      <c r="Q146" s="26" t="s">
        <v>57</v>
      </c>
      <c r="R146" s="44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4901</v>
      </c>
      <c r="C147" s="25" t="s">
        <v>4902</v>
      </c>
      <c r="D147" s="23" t="s">
        <v>4618</v>
      </c>
      <c r="E147" s="43">
        <v>46125</v>
      </c>
      <c r="F147" s="26" t="s">
        <v>55</v>
      </c>
      <c r="G147" s="44" t="s">
        <v>770</v>
      </c>
      <c r="H147" s="26" t="s">
        <v>57</v>
      </c>
      <c r="I147" s="44" t="s">
        <v>770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3">
        <v>46196</v>
      </c>
      <c r="O147" s="26" t="s">
        <v>55</v>
      </c>
      <c r="P147" s="44" t="s">
        <v>770</v>
      </c>
      <c r="Q147" s="26" t="s">
        <v>57</v>
      </c>
      <c r="R147" s="44" t="s">
        <v>770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4903</v>
      </c>
      <c r="C148" s="41" t="s">
        <v>4904</v>
      </c>
      <c r="D148" s="39" t="s">
        <v>4618</v>
      </c>
      <c r="E148" s="43">
        <v>46125</v>
      </c>
      <c r="F148" s="26" t="s">
        <v>55</v>
      </c>
      <c r="G148" s="44" t="s">
        <v>770</v>
      </c>
      <c r="H148" s="26" t="s">
        <v>57</v>
      </c>
      <c r="I148" s="44" t="s">
        <v>770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3">
        <v>46196</v>
      </c>
      <c r="O148" s="26" t="s">
        <v>55</v>
      </c>
      <c r="P148" s="44" t="s">
        <v>770</v>
      </c>
      <c r="Q148" s="26" t="s">
        <v>57</v>
      </c>
      <c r="R148" s="44" t="s">
        <v>770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4905</v>
      </c>
      <c r="C149" s="25" t="s">
        <v>4906</v>
      </c>
      <c r="D149" s="23" t="s">
        <v>4618</v>
      </c>
      <c r="E149" s="43">
        <v>46125</v>
      </c>
      <c r="F149" s="26" t="s">
        <v>55</v>
      </c>
      <c r="G149" s="44" t="s">
        <v>770</v>
      </c>
      <c r="H149" s="26" t="s">
        <v>57</v>
      </c>
      <c r="I149" s="44" t="s">
        <v>770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3">
        <v>46196</v>
      </c>
      <c r="O149" s="26" t="s">
        <v>55</v>
      </c>
      <c r="P149" s="44" t="s">
        <v>770</v>
      </c>
      <c r="Q149" s="26" t="s">
        <v>57</v>
      </c>
      <c r="R149" s="44" t="s">
        <v>770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4907</v>
      </c>
      <c r="C150" s="41" t="s">
        <v>4908</v>
      </c>
      <c r="D150" s="39" t="s">
        <v>4618</v>
      </c>
      <c r="E150" s="43">
        <v>46125</v>
      </c>
      <c r="F150" s="26" t="s">
        <v>55</v>
      </c>
      <c r="G150" s="44" t="s">
        <v>770</v>
      </c>
      <c r="H150" s="26" t="s">
        <v>57</v>
      </c>
      <c r="I150" s="44" t="s">
        <v>770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3">
        <v>46196</v>
      </c>
      <c r="O150" s="26" t="s">
        <v>55</v>
      </c>
      <c r="P150" s="44" t="s">
        <v>770</v>
      </c>
      <c r="Q150" s="26" t="s">
        <v>57</v>
      </c>
      <c r="R150" s="44" t="s">
        <v>770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4909</v>
      </c>
      <c r="C151" s="25" t="s">
        <v>4910</v>
      </c>
      <c r="D151" s="23" t="s">
        <v>4618</v>
      </c>
      <c r="E151" s="43">
        <v>46125</v>
      </c>
      <c r="F151" s="26" t="s">
        <v>55</v>
      </c>
      <c r="G151" s="44" t="s">
        <v>770</v>
      </c>
      <c r="H151" s="26" t="s">
        <v>57</v>
      </c>
      <c r="I151" s="44" t="s">
        <v>770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3">
        <v>46196</v>
      </c>
      <c r="O151" s="26" t="s">
        <v>55</v>
      </c>
      <c r="P151" s="44" t="s">
        <v>770</v>
      </c>
      <c r="Q151" s="26" t="s">
        <v>57</v>
      </c>
      <c r="R151" s="44" t="s">
        <v>770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4911</v>
      </c>
      <c r="C152" s="41" t="s">
        <v>4912</v>
      </c>
      <c r="D152" s="39" t="s">
        <v>4618</v>
      </c>
      <c r="E152" s="43">
        <v>46125</v>
      </c>
      <c r="F152" s="26" t="s">
        <v>55</v>
      </c>
      <c r="G152" s="44" t="s">
        <v>56</v>
      </c>
      <c r="H152" s="26" t="s">
        <v>57</v>
      </c>
      <c r="I152" s="44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3">
        <v>46196</v>
      </c>
      <c r="O152" s="26" t="s">
        <v>55</v>
      </c>
      <c r="P152" s="44" t="s">
        <v>56</v>
      </c>
      <c r="Q152" s="26" t="s">
        <v>57</v>
      </c>
      <c r="R152" s="44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4913</v>
      </c>
      <c r="C153" s="25" t="s">
        <v>4914</v>
      </c>
      <c r="D153" s="23" t="s">
        <v>4618</v>
      </c>
      <c r="E153" s="43">
        <v>46125</v>
      </c>
      <c r="F153" s="26" t="s">
        <v>55</v>
      </c>
      <c r="G153" s="44" t="s">
        <v>770</v>
      </c>
      <c r="H153" s="26" t="s">
        <v>57</v>
      </c>
      <c r="I153" s="44" t="s">
        <v>770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3">
        <v>46196</v>
      </c>
      <c r="O153" s="26" t="s">
        <v>55</v>
      </c>
      <c r="P153" s="44" t="s">
        <v>770</v>
      </c>
      <c r="Q153" s="26" t="s">
        <v>57</v>
      </c>
      <c r="R153" s="44" t="s">
        <v>770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4915</v>
      </c>
      <c r="C154" s="41" t="s">
        <v>4916</v>
      </c>
      <c r="D154" s="39" t="s">
        <v>4618</v>
      </c>
      <c r="E154" s="43">
        <v>46125</v>
      </c>
      <c r="F154" s="26" t="s">
        <v>55</v>
      </c>
      <c r="G154" s="44" t="s">
        <v>57</v>
      </c>
      <c r="H154" s="26" t="s">
        <v>57</v>
      </c>
      <c r="I154" s="44" t="s">
        <v>153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43">
        <v>46196</v>
      </c>
      <c r="O154" s="26" t="s">
        <v>55</v>
      </c>
      <c r="P154" s="44" t="s">
        <v>57</v>
      </c>
      <c r="Q154" s="26" t="s">
        <v>57</v>
      </c>
      <c r="R154" s="44" t="s">
        <v>153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4917</v>
      </c>
      <c r="C155" s="25" t="s">
        <v>4918</v>
      </c>
      <c r="D155" s="23" t="s">
        <v>4618</v>
      </c>
      <c r="E155" s="43">
        <v>46125</v>
      </c>
      <c r="F155" s="26" t="s">
        <v>55</v>
      </c>
      <c r="G155" s="44" t="s">
        <v>57</v>
      </c>
      <c r="H155" s="26" t="s">
        <v>57</v>
      </c>
      <c r="I155" s="44" t="s">
        <v>153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43">
        <v>46196</v>
      </c>
      <c r="O155" s="26" t="s">
        <v>55</v>
      </c>
      <c r="P155" s="44" t="s">
        <v>57</v>
      </c>
      <c r="Q155" s="26" t="s">
        <v>57</v>
      </c>
      <c r="R155" s="44" t="s">
        <v>153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4919</v>
      </c>
      <c r="C156" s="41" t="s">
        <v>4920</v>
      </c>
      <c r="D156" s="39" t="s">
        <v>4618</v>
      </c>
      <c r="E156" s="43">
        <v>46125</v>
      </c>
      <c r="F156" s="26" t="s">
        <v>55</v>
      </c>
      <c r="G156" s="44" t="s">
        <v>57</v>
      </c>
      <c r="H156" s="26" t="s">
        <v>57</v>
      </c>
      <c r="I156" s="44" t="s">
        <v>153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43">
        <v>46196</v>
      </c>
      <c r="O156" s="26" t="s">
        <v>55</v>
      </c>
      <c r="P156" s="44" t="s">
        <v>57</v>
      </c>
      <c r="Q156" s="26" t="s">
        <v>57</v>
      </c>
      <c r="R156" s="44" t="s">
        <v>153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4921</v>
      </c>
      <c r="C157" s="25" t="s">
        <v>4922</v>
      </c>
      <c r="D157" s="23" t="s">
        <v>4618</v>
      </c>
      <c r="E157" s="43">
        <v>46125</v>
      </c>
      <c r="F157" s="26" t="s">
        <v>55</v>
      </c>
      <c r="G157" s="44" t="s">
        <v>57</v>
      </c>
      <c r="H157" s="26" t="s">
        <v>57</v>
      </c>
      <c r="I157" s="44" t="s">
        <v>153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43">
        <v>46196</v>
      </c>
      <c r="O157" s="26" t="s">
        <v>55</v>
      </c>
      <c r="P157" s="44" t="s">
        <v>57</v>
      </c>
      <c r="Q157" s="26" t="s">
        <v>57</v>
      </c>
      <c r="R157" s="44" t="s">
        <v>153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4923</v>
      </c>
      <c r="C158" s="41" t="s">
        <v>4924</v>
      </c>
      <c r="D158" s="39" t="s">
        <v>4618</v>
      </c>
      <c r="E158" s="43">
        <v>46125</v>
      </c>
      <c r="F158" s="26" t="s">
        <v>55</v>
      </c>
      <c r="G158" s="44" t="s">
        <v>57</v>
      </c>
      <c r="H158" s="26" t="s">
        <v>57</v>
      </c>
      <c r="I158" s="44" t="s">
        <v>153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43">
        <v>46196</v>
      </c>
      <c r="O158" s="26" t="s">
        <v>55</v>
      </c>
      <c r="P158" s="44" t="s">
        <v>57</v>
      </c>
      <c r="Q158" s="26" t="s">
        <v>57</v>
      </c>
      <c r="R158" s="44" t="s">
        <v>153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4925</v>
      </c>
      <c r="C159" s="25" t="s">
        <v>4926</v>
      </c>
      <c r="D159" s="23" t="s">
        <v>4618</v>
      </c>
      <c r="E159" s="43">
        <v>46125</v>
      </c>
      <c r="F159" s="26" t="s">
        <v>55</v>
      </c>
      <c r="G159" s="44" t="s">
        <v>57</v>
      </c>
      <c r="H159" s="26" t="s">
        <v>57</v>
      </c>
      <c r="I159" s="44" t="s">
        <v>153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43">
        <v>46196</v>
      </c>
      <c r="O159" s="26" t="s">
        <v>55</v>
      </c>
      <c r="P159" s="44" t="s">
        <v>57</v>
      </c>
      <c r="Q159" s="26" t="s">
        <v>57</v>
      </c>
      <c r="R159" s="44" t="s">
        <v>153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4927</v>
      </c>
      <c r="C160" s="41" t="s">
        <v>4928</v>
      </c>
      <c r="D160" s="39" t="s">
        <v>4618</v>
      </c>
      <c r="E160" s="43">
        <v>46125</v>
      </c>
      <c r="F160" s="26" t="s">
        <v>55</v>
      </c>
      <c r="G160" s="44" t="s">
        <v>770</v>
      </c>
      <c r="H160" s="26" t="s">
        <v>57</v>
      </c>
      <c r="I160" s="44" t="s">
        <v>770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3">
        <v>46196</v>
      </c>
      <c r="O160" s="26" t="s">
        <v>55</v>
      </c>
      <c r="P160" s="44" t="s">
        <v>770</v>
      </c>
      <c r="Q160" s="26" t="s">
        <v>57</v>
      </c>
      <c r="R160" s="44" t="s">
        <v>770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4929</v>
      </c>
      <c r="C161" s="25" t="s">
        <v>4930</v>
      </c>
      <c r="D161" s="23" t="s">
        <v>4618</v>
      </c>
      <c r="E161" s="43">
        <v>46125</v>
      </c>
      <c r="F161" s="26" t="s">
        <v>55</v>
      </c>
      <c r="G161" s="44" t="s">
        <v>770</v>
      </c>
      <c r="H161" s="26" t="s">
        <v>57</v>
      </c>
      <c r="I161" s="44" t="s">
        <v>770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3">
        <v>46196</v>
      </c>
      <c r="O161" s="26" t="s">
        <v>55</v>
      </c>
      <c r="P161" s="44" t="s">
        <v>770</v>
      </c>
      <c r="Q161" s="26" t="s">
        <v>57</v>
      </c>
      <c r="R161" s="44" t="s">
        <v>770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4931</v>
      </c>
      <c r="C162" s="41" t="s">
        <v>4932</v>
      </c>
      <c r="D162" s="39" t="s">
        <v>4618</v>
      </c>
      <c r="E162" s="43">
        <v>46125</v>
      </c>
      <c r="F162" s="26" t="s">
        <v>55</v>
      </c>
      <c r="G162" s="44" t="s">
        <v>770</v>
      </c>
      <c r="H162" s="26" t="s">
        <v>57</v>
      </c>
      <c r="I162" s="44" t="s">
        <v>770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3">
        <v>46196</v>
      </c>
      <c r="O162" s="26" t="s">
        <v>55</v>
      </c>
      <c r="P162" s="44" t="s">
        <v>770</v>
      </c>
      <c r="Q162" s="26" t="s">
        <v>57</v>
      </c>
      <c r="R162" s="44" t="s">
        <v>770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4933</v>
      </c>
      <c r="C163" s="25" t="s">
        <v>4934</v>
      </c>
      <c r="D163" s="23" t="s">
        <v>4618</v>
      </c>
      <c r="E163" s="43">
        <v>46125</v>
      </c>
      <c r="F163" s="26" t="s">
        <v>55</v>
      </c>
      <c r="G163" s="44" t="s">
        <v>56</v>
      </c>
      <c r="H163" s="26" t="s">
        <v>57</v>
      </c>
      <c r="I163" s="44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3">
        <v>46196</v>
      </c>
      <c r="O163" s="26" t="s">
        <v>55</v>
      </c>
      <c r="P163" s="44" t="s">
        <v>56</v>
      </c>
      <c r="Q163" s="26" t="s">
        <v>57</v>
      </c>
      <c r="R163" s="44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4935</v>
      </c>
      <c r="C164" s="41" t="s">
        <v>4936</v>
      </c>
      <c r="D164" s="39" t="s">
        <v>4618</v>
      </c>
      <c r="E164" s="43">
        <v>46125</v>
      </c>
      <c r="F164" s="26" t="s">
        <v>55</v>
      </c>
      <c r="G164" s="44" t="s">
        <v>770</v>
      </c>
      <c r="H164" s="26" t="s">
        <v>57</v>
      </c>
      <c r="I164" s="44" t="s">
        <v>770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3">
        <v>46196</v>
      </c>
      <c r="O164" s="26" t="s">
        <v>55</v>
      </c>
      <c r="P164" s="44" t="s">
        <v>770</v>
      </c>
      <c r="Q164" s="26" t="s">
        <v>57</v>
      </c>
      <c r="R164" s="44" t="s">
        <v>770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4937</v>
      </c>
      <c r="C165" s="25" t="s">
        <v>4938</v>
      </c>
      <c r="D165" s="23" t="s">
        <v>4618</v>
      </c>
      <c r="E165" s="43">
        <v>46125</v>
      </c>
      <c r="F165" s="26" t="s">
        <v>55</v>
      </c>
      <c r="G165" s="44" t="s">
        <v>770</v>
      </c>
      <c r="H165" s="26" t="s">
        <v>57</v>
      </c>
      <c r="I165" s="44" t="s">
        <v>770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3">
        <v>46196</v>
      </c>
      <c r="O165" s="26" t="s">
        <v>55</v>
      </c>
      <c r="P165" s="44" t="s">
        <v>770</v>
      </c>
      <c r="Q165" s="26" t="s">
        <v>57</v>
      </c>
      <c r="R165" s="44" t="s">
        <v>770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4939</v>
      </c>
      <c r="C166" s="41" t="s">
        <v>4940</v>
      </c>
      <c r="D166" s="39" t="s">
        <v>4618</v>
      </c>
      <c r="E166" s="43">
        <v>46125</v>
      </c>
      <c r="F166" s="26" t="s">
        <v>55</v>
      </c>
      <c r="G166" s="44" t="s">
        <v>770</v>
      </c>
      <c r="H166" s="26" t="s">
        <v>57</v>
      </c>
      <c r="I166" s="44" t="s">
        <v>770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3">
        <v>46196</v>
      </c>
      <c r="O166" s="26" t="s">
        <v>55</v>
      </c>
      <c r="P166" s="44" t="s">
        <v>770</v>
      </c>
      <c r="Q166" s="26" t="s">
        <v>57</v>
      </c>
      <c r="R166" s="44" t="s">
        <v>770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4941</v>
      </c>
      <c r="C167" s="25" t="s">
        <v>4942</v>
      </c>
      <c r="D167" s="23" t="s">
        <v>4618</v>
      </c>
      <c r="E167" s="43">
        <v>46125</v>
      </c>
      <c r="F167" s="26" t="s">
        <v>55</v>
      </c>
      <c r="G167" s="44" t="s">
        <v>770</v>
      </c>
      <c r="H167" s="26" t="s">
        <v>57</v>
      </c>
      <c r="I167" s="44" t="s">
        <v>770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3">
        <v>46196</v>
      </c>
      <c r="O167" s="26" t="s">
        <v>55</v>
      </c>
      <c r="P167" s="44" t="s">
        <v>770</v>
      </c>
      <c r="Q167" s="26" t="s">
        <v>57</v>
      </c>
      <c r="R167" s="44" t="s">
        <v>770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4943</v>
      </c>
      <c r="C168" s="41" t="s">
        <v>4944</v>
      </c>
      <c r="D168" s="39" t="s">
        <v>4618</v>
      </c>
      <c r="E168" s="43">
        <v>46125</v>
      </c>
      <c r="F168" s="26" t="s">
        <v>55</v>
      </c>
      <c r="G168" s="44" t="s">
        <v>56</v>
      </c>
      <c r="H168" s="26" t="s">
        <v>57</v>
      </c>
      <c r="I168" s="44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3">
        <v>46196</v>
      </c>
      <c r="O168" s="26" t="s">
        <v>55</v>
      </c>
      <c r="P168" s="44" t="s">
        <v>56</v>
      </c>
      <c r="Q168" s="26" t="s">
        <v>57</v>
      </c>
      <c r="R168" s="44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4945</v>
      </c>
      <c r="C169" s="25" t="s">
        <v>4946</v>
      </c>
      <c r="D169" s="23" t="s">
        <v>4618</v>
      </c>
      <c r="E169" s="43">
        <v>46125</v>
      </c>
      <c r="F169" s="26" t="s">
        <v>55</v>
      </c>
      <c r="G169" s="44" t="s">
        <v>770</v>
      </c>
      <c r="H169" s="26" t="s">
        <v>57</v>
      </c>
      <c r="I169" s="44" t="s">
        <v>770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3">
        <v>46196</v>
      </c>
      <c r="O169" s="26" t="s">
        <v>55</v>
      </c>
      <c r="P169" s="44" t="s">
        <v>770</v>
      </c>
      <c r="Q169" s="26" t="s">
        <v>57</v>
      </c>
      <c r="R169" s="44" t="s">
        <v>770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4947</v>
      </c>
      <c r="C170" s="41" t="s">
        <v>4948</v>
      </c>
      <c r="D170" s="39" t="s">
        <v>4618</v>
      </c>
      <c r="E170" s="43">
        <v>46125</v>
      </c>
      <c r="F170" s="26" t="s">
        <v>55</v>
      </c>
      <c r="G170" s="44" t="s">
        <v>770</v>
      </c>
      <c r="H170" s="26" t="s">
        <v>57</v>
      </c>
      <c r="I170" s="44" t="s">
        <v>770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3">
        <v>46196</v>
      </c>
      <c r="O170" s="26" t="s">
        <v>55</v>
      </c>
      <c r="P170" s="44" t="s">
        <v>770</v>
      </c>
      <c r="Q170" s="26" t="s">
        <v>57</v>
      </c>
      <c r="R170" s="44" t="s">
        <v>770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4949</v>
      </c>
      <c r="C171" s="25" t="s">
        <v>4950</v>
      </c>
      <c r="D171" s="23" t="s">
        <v>4618</v>
      </c>
      <c r="E171" s="43">
        <v>46125</v>
      </c>
      <c r="F171" s="26" t="s">
        <v>55</v>
      </c>
      <c r="G171" s="44" t="s">
        <v>770</v>
      </c>
      <c r="H171" s="26" t="s">
        <v>57</v>
      </c>
      <c r="I171" s="44" t="s">
        <v>770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3">
        <v>46196</v>
      </c>
      <c r="O171" s="26" t="s">
        <v>55</v>
      </c>
      <c r="P171" s="44" t="s">
        <v>770</v>
      </c>
      <c r="Q171" s="26" t="s">
        <v>57</v>
      </c>
      <c r="R171" s="44" t="s">
        <v>770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4951</v>
      </c>
      <c r="C172" s="41" t="s">
        <v>4952</v>
      </c>
      <c r="D172" s="39" t="s">
        <v>4618</v>
      </c>
      <c r="E172" s="43">
        <v>46125</v>
      </c>
      <c r="F172" s="26" t="s">
        <v>55</v>
      </c>
      <c r="G172" s="44" t="s">
        <v>770</v>
      </c>
      <c r="H172" s="26" t="s">
        <v>57</v>
      </c>
      <c r="I172" s="44" t="s">
        <v>770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3">
        <v>46196</v>
      </c>
      <c r="O172" s="26" t="s">
        <v>55</v>
      </c>
      <c r="P172" s="44" t="s">
        <v>770</v>
      </c>
      <c r="Q172" s="26" t="s">
        <v>57</v>
      </c>
      <c r="R172" s="44" t="s">
        <v>770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4953</v>
      </c>
      <c r="C173" s="25" t="s">
        <v>4954</v>
      </c>
      <c r="D173" s="23" t="s">
        <v>4618</v>
      </c>
      <c r="E173" s="43">
        <v>46125</v>
      </c>
      <c r="F173" s="26" t="s">
        <v>55</v>
      </c>
      <c r="G173" s="44" t="s">
        <v>770</v>
      </c>
      <c r="H173" s="26" t="s">
        <v>57</v>
      </c>
      <c r="I173" s="44" t="s">
        <v>770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3">
        <v>46196</v>
      </c>
      <c r="O173" s="26" t="s">
        <v>55</v>
      </c>
      <c r="P173" s="44" t="s">
        <v>770</v>
      </c>
      <c r="Q173" s="26" t="s">
        <v>57</v>
      </c>
      <c r="R173" s="44" t="s">
        <v>770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4955</v>
      </c>
      <c r="C174" s="41" t="s">
        <v>4956</v>
      </c>
      <c r="D174" s="39" t="s">
        <v>4618</v>
      </c>
      <c r="E174" s="43">
        <v>46125</v>
      </c>
      <c r="F174" s="26" t="s">
        <v>55</v>
      </c>
      <c r="G174" s="44" t="s">
        <v>770</v>
      </c>
      <c r="H174" s="26" t="s">
        <v>57</v>
      </c>
      <c r="I174" s="44" t="s">
        <v>770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3">
        <v>46196</v>
      </c>
      <c r="O174" s="26" t="s">
        <v>55</v>
      </c>
      <c r="P174" s="44" t="s">
        <v>770</v>
      </c>
      <c r="Q174" s="26" t="s">
        <v>57</v>
      </c>
      <c r="R174" s="44" t="s">
        <v>770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4957</v>
      </c>
      <c r="C175" s="25" t="s">
        <v>4958</v>
      </c>
      <c r="D175" s="23" t="s">
        <v>4618</v>
      </c>
      <c r="E175" s="43">
        <v>46125</v>
      </c>
      <c r="F175" s="26" t="s">
        <v>55</v>
      </c>
      <c r="G175" s="44" t="s">
        <v>770</v>
      </c>
      <c r="H175" s="26" t="s">
        <v>57</v>
      </c>
      <c r="I175" s="44" t="s">
        <v>770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3">
        <v>46196</v>
      </c>
      <c r="O175" s="26" t="s">
        <v>55</v>
      </c>
      <c r="P175" s="44" t="s">
        <v>770</v>
      </c>
      <c r="Q175" s="26" t="s">
        <v>57</v>
      </c>
      <c r="R175" s="44" t="s">
        <v>770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4959</v>
      </c>
      <c r="C176" s="41" t="s">
        <v>4960</v>
      </c>
      <c r="D176" s="39" t="s">
        <v>4618</v>
      </c>
      <c r="E176" s="43">
        <v>46125</v>
      </c>
      <c r="F176" s="26" t="s">
        <v>55</v>
      </c>
      <c r="G176" s="44" t="s">
        <v>56</v>
      </c>
      <c r="H176" s="26" t="s">
        <v>57</v>
      </c>
      <c r="I176" s="44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3">
        <v>46196</v>
      </c>
      <c r="O176" s="26" t="s">
        <v>55</v>
      </c>
      <c r="P176" s="44" t="s">
        <v>56</v>
      </c>
      <c r="Q176" s="26" t="s">
        <v>57</v>
      </c>
      <c r="R176" s="44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4961</v>
      </c>
      <c r="C177" s="25" t="s">
        <v>4962</v>
      </c>
      <c r="D177" s="23" t="s">
        <v>4618</v>
      </c>
      <c r="E177" s="43">
        <v>46125</v>
      </c>
      <c r="F177" s="26" t="s">
        <v>55</v>
      </c>
      <c r="G177" s="44" t="s">
        <v>56</v>
      </c>
      <c r="H177" s="26" t="s">
        <v>57</v>
      </c>
      <c r="I177" s="44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3">
        <v>46196</v>
      </c>
      <c r="O177" s="26" t="s">
        <v>55</v>
      </c>
      <c r="P177" s="44" t="s">
        <v>56</v>
      </c>
      <c r="Q177" s="26" t="s">
        <v>57</v>
      </c>
      <c r="R177" s="44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4963</v>
      </c>
      <c r="C178" s="41" t="s">
        <v>4964</v>
      </c>
      <c r="D178" s="39" t="s">
        <v>4618</v>
      </c>
      <c r="E178" s="43">
        <v>46125</v>
      </c>
      <c r="F178" s="26" t="s">
        <v>55</v>
      </c>
      <c r="G178" s="44" t="s">
        <v>770</v>
      </c>
      <c r="H178" s="26" t="s">
        <v>57</v>
      </c>
      <c r="I178" s="44" t="s">
        <v>770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3">
        <v>46196</v>
      </c>
      <c r="O178" s="26" t="s">
        <v>55</v>
      </c>
      <c r="P178" s="44" t="s">
        <v>770</v>
      </c>
      <c r="Q178" s="26" t="s">
        <v>57</v>
      </c>
      <c r="R178" s="44" t="s">
        <v>770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4965</v>
      </c>
      <c r="C179" s="25" t="s">
        <v>4966</v>
      </c>
      <c r="D179" s="23" t="s">
        <v>4618</v>
      </c>
      <c r="E179" s="43">
        <v>46125</v>
      </c>
      <c r="F179" s="26" t="s">
        <v>55</v>
      </c>
      <c r="G179" s="44" t="s">
        <v>770</v>
      </c>
      <c r="H179" s="26" t="s">
        <v>57</v>
      </c>
      <c r="I179" s="44" t="s">
        <v>770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3">
        <v>46196</v>
      </c>
      <c r="O179" s="26" t="s">
        <v>55</v>
      </c>
      <c r="P179" s="44" t="s">
        <v>770</v>
      </c>
      <c r="Q179" s="26" t="s">
        <v>57</v>
      </c>
      <c r="R179" s="44" t="s">
        <v>770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4967</v>
      </c>
      <c r="C180" s="41" t="s">
        <v>4968</v>
      </c>
      <c r="D180" s="39" t="s">
        <v>4618</v>
      </c>
      <c r="E180" s="43">
        <v>46125</v>
      </c>
      <c r="F180" s="26" t="s">
        <v>55</v>
      </c>
      <c r="G180" s="44" t="s">
        <v>770</v>
      </c>
      <c r="H180" s="26" t="s">
        <v>57</v>
      </c>
      <c r="I180" s="44" t="s">
        <v>770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3">
        <v>46196</v>
      </c>
      <c r="O180" s="26" t="s">
        <v>55</v>
      </c>
      <c r="P180" s="44" t="s">
        <v>770</v>
      </c>
      <c r="Q180" s="26" t="s">
        <v>57</v>
      </c>
      <c r="R180" s="44" t="s">
        <v>770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4969</v>
      </c>
      <c r="C181" s="25" t="s">
        <v>4970</v>
      </c>
      <c r="D181" s="23" t="s">
        <v>4618</v>
      </c>
      <c r="E181" s="43">
        <v>46125</v>
      </c>
      <c r="F181" s="26" t="s">
        <v>55</v>
      </c>
      <c r="G181" s="44" t="s">
        <v>770</v>
      </c>
      <c r="H181" s="26" t="s">
        <v>57</v>
      </c>
      <c r="I181" s="44" t="s">
        <v>770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3">
        <v>46196</v>
      </c>
      <c r="O181" s="26" t="s">
        <v>55</v>
      </c>
      <c r="P181" s="44" t="s">
        <v>770</v>
      </c>
      <c r="Q181" s="26" t="s">
        <v>57</v>
      </c>
      <c r="R181" s="44" t="s">
        <v>770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4971</v>
      </c>
      <c r="C182" s="41" t="s">
        <v>4972</v>
      </c>
      <c r="D182" s="39" t="s">
        <v>4618</v>
      </c>
      <c r="E182" s="43">
        <v>46125</v>
      </c>
      <c r="F182" s="26" t="s">
        <v>55</v>
      </c>
      <c r="G182" s="44" t="s">
        <v>770</v>
      </c>
      <c r="H182" s="26" t="s">
        <v>57</v>
      </c>
      <c r="I182" s="44" t="s">
        <v>770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3">
        <v>46196</v>
      </c>
      <c r="O182" s="26" t="s">
        <v>55</v>
      </c>
      <c r="P182" s="44" t="s">
        <v>770</v>
      </c>
      <c r="Q182" s="26" t="s">
        <v>57</v>
      </c>
      <c r="R182" s="44" t="s">
        <v>770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4973</v>
      </c>
      <c r="C183" s="25" t="s">
        <v>4974</v>
      </c>
      <c r="D183" s="23" t="s">
        <v>4618</v>
      </c>
      <c r="E183" s="43">
        <v>46125</v>
      </c>
      <c r="F183" s="26" t="s">
        <v>55</v>
      </c>
      <c r="G183" s="44" t="s">
        <v>770</v>
      </c>
      <c r="H183" s="26" t="s">
        <v>57</v>
      </c>
      <c r="I183" s="44" t="s">
        <v>770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3">
        <v>46196</v>
      </c>
      <c r="O183" s="26" t="s">
        <v>55</v>
      </c>
      <c r="P183" s="44" t="s">
        <v>770</v>
      </c>
      <c r="Q183" s="26" t="s">
        <v>57</v>
      </c>
      <c r="R183" s="44" t="s">
        <v>770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4975</v>
      </c>
      <c r="C184" s="41" t="s">
        <v>4976</v>
      </c>
      <c r="D184" s="39" t="s">
        <v>4618</v>
      </c>
      <c r="E184" s="43">
        <v>46125</v>
      </c>
      <c r="F184" s="26" t="s">
        <v>55</v>
      </c>
      <c r="G184" s="44" t="s">
        <v>770</v>
      </c>
      <c r="H184" s="26" t="s">
        <v>57</v>
      </c>
      <c r="I184" s="44" t="s">
        <v>770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3">
        <v>46196</v>
      </c>
      <c r="O184" s="26" t="s">
        <v>55</v>
      </c>
      <c r="P184" s="44" t="s">
        <v>770</v>
      </c>
      <c r="Q184" s="26" t="s">
        <v>57</v>
      </c>
      <c r="R184" s="44" t="s">
        <v>770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4977</v>
      </c>
      <c r="C185" s="25" t="s">
        <v>4978</v>
      </c>
      <c r="D185" s="23" t="s">
        <v>4618</v>
      </c>
      <c r="E185" s="43">
        <v>46125</v>
      </c>
      <c r="F185" s="26" t="s">
        <v>55</v>
      </c>
      <c r="G185" s="44" t="s">
        <v>770</v>
      </c>
      <c r="H185" s="26" t="s">
        <v>57</v>
      </c>
      <c r="I185" s="44" t="s">
        <v>770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3">
        <v>46196</v>
      </c>
      <c r="O185" s="26" t="s">
        <v>55</v>
      </c>
      <c r="P185" s="44" t="s">
        <v>770</v>
      </c>
      <c r="Q185" s="26" t="s">
        <v>57</v>
      </c>
      <c r="R185" s="44" t="s">
        <v>770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4979</v>
      </c>
      <c r="C186" s="41" t="s">
        <v>4980</v>
      </c>
      <c r="D186" s="39" t="s">
        <v>4618</v>
      </c>
      <c r="E186" s="43">
        <v>46125</v>
      </c>
      <c r="F186" s="26" t="s">
        <v>55</v>
      </c>
      <c r="G186" s="44" t="s">
        <v>770</v>
      </c>
      <c r="H186" s="26" t="s">
        <v>57</v>
      </c>
      <c r="I186" s="44" t="s">
        <v>770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3">
        <v>46196</v>
      </c>
      <c r="O186" s="26" t="s">
        <v>55</v>
      </c>
      <c r="P186" s="44" t="s">
        <v>770</v>
      </c>
      <c r="Q186" s="26" t="s">
        <v>57</v>
      </c>
      <c r="R186" s="44" t="s">
        <v>770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4981</v>
      </c>
      <c r="C187" s="25" t="s">
        <v>4982</v>
      </c>
      <c r="D187" s="23" t="s">
        <v>4618</v>
      </c>
      <c r="E187" s="43">
        <v>46125</v>
      </c>
      <c r="F187" s="26" t="s">
        <v>55</v>
      </c>
      <c r="G187" s="44" t="s">
        <v>770</v>
      </c>
      <c r="H187" s="26" t="s">
        <v>57</v>
      </c>
      <c r="I187" s="44" t="s">
        <v>770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3">
        <v>46196</v>
      </c>
      <c r="O187" s="26" t="s">
        <v>55</v>
      </c>
      <c r="P187" s="44" t="s">
        <v>770</v>
      </c>
      <c r="Q187" s="26" t="s">
        <v>57</v>
      </c>
      <c r="R187" s="44" t="s">
        <v>770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4983</v>
      </c>
      <c r="C188" s="41" t="s">
        <v>4984</v>
      </c>
      <c r="D188" s="39" t="s">
        <v>4618</v>
      </c>
      <c r="E188" s="43">
        <v>46125</v>
      </c>
      <c r="F188" s="26" t="s">
        <v>55</v>
      </c>
      <c r="G188" s="44" t="s">
        <v>770</v>
      </c>
      <c r="H188" s="26" t="s">
        <v>57</v>
      </c>
      <c r="I188" s="44" t="s">
        <v>770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3">
        <v>46196</v>
      </c>
      <c r="O188" s="26" t="s">
        <v>55</v>
      </c>
      <c r="P188" s="44" t="s">
        <v>770</v>
      </c>
      <c r="Q188" s="26" t="s">
        <v>57</v>
      </c>
      <c r="R188" s="44" t="s">
        <v>770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4985</v>
      </c>
      <c r="C189" s="25" t="s">
        <v>4986</v>
      </c>
      <c r="D189" s="23" t="s">
        <v>4618</v>
      </c>
      <c r="E189" s="43">
        <v>46125</v>
      </c>
      <c r="F189" s="26" t="s">
        <v>55</v>
      </c>
      <c r="G189" s="44" t="s">
        <v>770</v>
      </c>
      <c r="H189" s="26" t="s">
        <v>57</v>
      </c>
      <c r="I189" s="44" t="s">
        <v>770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3">
        <v>46196</v>
      </c>
      <c r="O189" s="26" t="s">
        <v>55</v>
      </c>
      <c r="P189" s="44" t="s">
        <v>770</v>
      </c>
      <c r="Q189" s="26" t="s">
        <v>57</v>
      </c>
      <c r="R189" s="44" t="s">
        <v>770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4987</v>
      </c>
      <c r="C190" s="41" t="s">
        <v>4988</v>
      </c>
      <c r="D190" s="39" t="s">
        <v>4618</v>
      </c>
      <c r="E190" s="43">
        <v>46125</v>
      </c>
      <c r="F190" s="26" t="s">
        <v>55</v>
      </c>
      <c r="G190" s="44" t="s">
        <v>770</v>
      </c>
      <c r="H190" s="26" t="s">
        <v>57</v>
      </c>
      <c r="I190" s="44" t="s">
        <v>770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3">
        <v>46196</v>
      </c>
      <c r="O190" s="26" t="s">
        <v>55</v>
      </c>
      <c r="P190" s="44" t="s">
        <v>770</v>
      </c>
      <c r="Q190" s="26" t="s">
        <v>57</v>
      </c>
      <c r="R190" s="44" t="s">
        <v>770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4989</v>
      </c>
      <c r="C191" s="25" t="s">
        <v>4990</v>
      </c>
      <c r="D191" s="23" t="s">
        <v>4618</v>
      </c>
      <c r="E191" s="43">
        <v>46125</v>
      </c>
      <c r="F191" s="26" t="s">
        <v>55</v>
      </c>
      <c r="G191" s="44" t="s">
        <v>770</v>
      </c>
      <c r="H191" s="26" t="s">
        <v>57</v>
      </c>
      <c r="I191" s="44" t="s">
        <v>770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3">
        <v>46196</v>
      </c>
      <c r="O191" s="26" t="s">
        <v>55</v>
      </c>
      <c r="P191" s="44" t="s">
        <v>770</v>
      </c>
      <c r="Q191" s="26" t="s">
        <v>57</v>
      </c>
      <c r="R191" s="44" t="s">
        <v>770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4991</v>
      </c>
      <c r="C192" s="41" t="s">
        <v>4992</v>
      </c>
      <c r="D192" s="39" t="s">
        <v>4618</v>
      </c>
      <c r="E192" s="43">
        <v>46125</v>
      </c>
      <c r="F192" s="26" t="s">
        <v>55</v>
      </c>
      <c r="G192" s="44" t="s">
        <v>56</v>
      </c>
      <c r="H192" s="26" t="s">
        <v>57</v>
      </c>
      <c r="I192" s="44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3">
        <v>46196</v>
      </c>
      <c r="O192" s="26" t="s">
        <v>55</v>
      </c>
      <c r="P192" s="44" t="s">
        <v>56</v>
      </c>
      <c r="Q192" s="26" t="s">
        <v>57</v>
      </c>
      <c r="R192" s="44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4993</v>
      </c>
      <c r="C193" s="25" t="s">
        <v>4994</v>
      </c>
      <c r="D193" s="23" t="s">
        <v>4618</v>
      </c>
      <c r="E193" s="43">
        <v>46125</v>
      </c>
      <c r="F193" s="26" t="s">
        <v>55</v>
      </c>
      <c r="G193" s="44" t="s">
        <v>770</v>
      </c>
      <c r="H193" s="26" t="s">
        <v>57</v>
      </c>
      <c r="I193" s="44" t="s">
        <v>770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3">
        <v>46196</v>
      </c>
      <c r="O193" s="26" t="s">
        <v>55</v>
      </c>
      <c r="P193" s="44" t="s">
        <v>770</v>
      </c>
      <c r="Q193" s="26" t="s">
        <v>57</v>
      </c>
      <c r="R193" s="44" t="s">
        <v>770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4995</v>
      </c>
      <c r="C194" s="41" t="s">
        <v>4996</v>
      </c>
      <c r="D194" s="39" t="s">
        <v>4618</v>
      </c>
      <c r="E194" s="43">
        <v>46125</v>
      </c>
      <c r="F194" s="26" t="s">
        <v>55</v>
      </c>
      <c r="G194" s="44" t="s">
        <v>770</v>
      </c>
      <c r="H194" s="26" t="s">
        <v>57</v>
      </c>
      <c r="I194" s="44" t="s">
        <v>770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3">
        <v>46196</v>
      </c>
      <c r="O194" s="26" t="s">
        <v>55</v>
      </c>
      <c r="P194" s="44" t="s">
        <v>770</v>
      </c>
      <c r="Q194" s="26" t="s">
        <v>57</v>
      </c>
      <c r="R194" s="44" t="s">
        <v>770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4997</v>
      </c>
      <c r="C195" s="25" t="s">
        <v>4998</v>
      </c>
      <c r="D195" s="23" t="s">
        <v>4618</v>
      </c>
      <c r="E195" s="43">
        <v>46125</v>
      </c>
      <c r="F195" s="26" t="s">
        <v>55</v>
      </c>
      <c r="G195" s="44" t="s">
        <v>770</v>
      </c>
      <c r="H195" s="26" t="s">
        <v>57</v>
      </c>
      <c r="I195" s="44" t="s">
        <v>770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3">
        <v>46196</v>
      </c>
      <c r="O195" s="26" t="s">
        <v>55</v>
      </c>
      <c r="P195" s="44" t="s">
        <v>770</v>
      </c>
      <c r="Q195" s="26" t="s">
        <v>57</v>
      </c>
      <c r="R195" s="44" t="s">
        <v>770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4999</v>
      </c>
      <c r="C196" s="41" t="s">
        <v>5000</v>
      </c>
      <c r="D196" s="39" t="s">
        <v>4618</v>
      </c>
      <c r="E196" s="43">
        <v>46125</v>
      </c>
      <c r="F196" s="26" t="s">
        <v>55</v>
      </c>
      <c r="G196" s="44" t="s">
        <v>770</v>
      </c>
      <c r="H196" s="26" t="s">
        <v>57</v>
      </c>
      <c r="I196" s="44" t="s">
        <v>770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3">
        <v>46196</v>
      </c>
      <c r="O196" s="26" t="s">
        <v>55</v>
      </c>
      <c r="P196" s="44" t="s">
        <v>770</v>
      </c>
      <c r="Q196" s="26" t="s">
        <v>57</v>
      </c>
      <c r="R196" s="44" t="s">
        <v>770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5001</v>
      </c>
      <c r="C197" s="25" t="s">
        <v>5002</v>
      </c>
      <c r="D197" s="23" t="s">
        <v>4618</v>
      </c>
      <c r="E197" s="43">
        <v>46125</v>
      </c>
      <c r="F197" s="26" t="s">
        <v>55</v>
      </c>
      <c r="G197" s="44" t="s">
        <v>56</v>
      </c>
      <c r="H197" s="26" t="s">
        <v>57</v>
      </c>
      <c r="I197" s="44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3">
        <v>46196</v>
      </c>
      <c r="O197" s="26" t="s">
        <v>55</v>
      </c>
      <c r="P197" s="44" t="s">
        <v>56</v>
      </c>
      <c r="Q197" s="26" t="s">
        <v>57</v>
      </c>
      <c r="R197" s="44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5003</v>
      </c>
      <c r="C198" s="41" t="s">
        <v>5004</v>
      </c>
      <c r="D198" s="39" t="s">
        <v>4618</v>
      </c>
      <c r="E198" s="43">
        <v>46125</v>
      </c>
      <c r="F198" s="26" t="s">
        <v>55</v>
      </c>
      <c r="G198" s="44" t="s">
        <v>770</v>
      </c>
      <c r="H198" s="26" t="s">
        <v>57</v>
      </c>
      <c r="I198" s="44" t="s">
        <v>770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3">
        <v>46196</v>
      </c>
      <c r="O198" s="26" t="s">
        <v>55</v>
      </c>
      <c r="P198" s="44" t="s">
        <v>770</v>
      </c>
      <c r="Q198" s="26" t="s">
        <v>57</v>
      </c>
      <c r="R198" s="44" t="s">
        <v>770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5005</v>
      </c>
      <c r="C199" s="25" t="s">
        <v>5006</v>
      </c>
      <c r="D199" s="23" t="s">
        <v>4618</v>
      </c>
      <c r="E199" s="43">
        <v>46125</v>
      </c>
      <c r="F199" s="26" t="s">
        <v>55</v>
      </c>
      <c r="G199" s="44" t="s">
        <v>770</v>
      </c>
      <c r="H199" s="26" t="s">
        <v>57</v>
      </c>
      <c r="I199" s="44" t="s">
        <v>770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3">
        <v>46196</v>
      </c>
      <c r="O199" s="26" t="s">
        <v>55</v>
      </c>
      <c r="P199" s="44" t="s">
        <v>770</v>
      </c>
      <c r="Q199" s="26" t="s">
        <v>57</v>
      </c>
      <c r="R199" s="44" t="s">
        <v>770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5007</v>
      </c>
      <c r="C200" s="41" t="s">
        <v>5008</v>
      </c>
      <c r="D200" s="39" t="s">
        <v>4618</v>
      </c>
      <c r="E200" s="43">
        <v>46125</v>
      </c>
      <c r="F200" s="26" t="s">
        <v>55</v>
      </c>
      <c r="G200" s="44" t="s">
        <v>770</v>
      </c>
      <c r="H200" s="26" t="s">
        <v>57</v>
      </c>
      <c r="I200" s="44" t="s">
        <v>770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3">
        <v>46196</v>
      </c>
      <c r="O200" s="26" t="s">
        <v>55</v>
      </c>
      <c r="P200" s="44" t="s">
        <v>770</v>
      </c>
      <c r="Q200" s="26" t="s">
        <v>57</v>
      </c>
      <c r="R200" s="44" t="s">
        <v>770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5009</v>
      </c>
      <c r="C201" s="25" t="s">
        <v>5010</v>
      </c>
      <c r="D201" s="23" t="s">
        <v>4618</v>
      </c>
      <c r="E201" s="43">
        <v>46125</v>
      </c>
      <c r="F201" s="26" t="s">
        <v>55</v>
      </c>
      <c r="G201" s="44" t="s">
        <v>56</v>
      </c>
      <c r="H201" s="26" t="s">
        <v>57</v>
      </c>
      <c r="I201" s="44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3">
        <v>46196</v>
      </c>
      <c r="O201" s="26" t="s">
        <v>55</v>
      </c>
      <c r="P201" s="44" t="s">
        <v>56</v>
      </c>
      <c r="Q201" s="26" t="s">
        <v>57</v>
      </c>
      <c r="R201" s="44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5011</v>
      </c>
      <c r="C202" s="41" t="s">
        <v>5012</v>
      </c>
      <c r="D202" s="39" t="s">
        <v>4618</v>
      </c>
      <c r="E202" s="43">
        <v>46125</v>
      </c>
      <c r="F202" s="26" t="s">
        <v>55</v>
      </c>
      <c r="G202" s="44" t="s">
        <v>770</v>
      </c>
      <c r="H202" s="26" t="s">
        <v>57</v>
      </c>
      <c r="I202" s="44" t="s">
        <v>770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3">
        <v>46196</v>
      </c>
      <c r="O202" s="26" t="s">
        <v>55</v>
      </c>
      <c r="P202" s="44" t="s">
        <v>770</v>
      </c>
      <c r="Q202" s="26" t="s">
        <v>57</v>
      </c>
      <c r="R202" s="44" t="s">
        <v>770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5013</v>
      </c>
      <c r="C203" s="25" t="s">
        <v>5014</v>
      </c>
      <c r="D203" s="23" t="s">
        <v>4618</v>
      </c>
      <c r="E203" s="43">
        <v>46125</v>
      </c>
      <c r="F203" s="26" t="s">
        <v>55</v>
      </c>
      <c r="G203" s="44" t="s">
        <v>770</v>
      </c>
      <c r="H203" s="26" t="s">
        <v>57</v>
      </c>
      <c r="I203" s="44" t="s">
        <v>770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3">
        <v>46196</v>
      </c>
      <c r="O203" s="26" t="s">
        <v>55</v>
      </c>
      <c r="P203" s="44" t="s">
        <v>770</v>
      </c>
      <c r="Q203" s="26" t="s">
        <v>57</v>
      </c>
      <c r="R203" s="44" t="s">
        <v>770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5015</v>
      </c>
      <c r="C204" s="41" t="s">
        <v>5016</v>
      </c>
      <c r="D204" s="39" t="s">
        <v>4618</v>
      </c>
      <c r="E204" s="43">
        <v>46125</v>
      </c>
      <c r="F204" s="26" t="s">
        <v>55</v>
      </c>
      <c r="G204" s="44" t="s">
        <v>56</v>
      </c>
      <c r="H204" s="26" t="s">
        <v>57</v>
      </c>
      <c r="I204" s="44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3">
        <v>46196</v>
      </c>
      <c r="O204" s="26" t="s">
        <v>55</v>
      </c>
      <c r="P204" s="44" t="s">
        <v>56</v>
      </c>
      <c r="Q204" s="26" t="s">
        <v>57</v>
      </c>
      <c r="R204" s="44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5017</v>
      </c>
      <c r="C205" s="25" t="s">
        <v>5018</v>
      </c>
      <c r="D205" s="23" t="s">
        <v>4618</v>
      </c>
      <c r="E205" s="43">
        <v>46125</v>
      </c>
      <c r="F205" s="26" t="s">
        <v>55</v>
      </c>
      <c r="G205" s="44" t="s">
        <v>770</v>
      </c>
      <c r="H205" s="26" t="s">
        <v>57</v>
      </c>
      <c r="I205" s="44" t="s">
        <v>770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3">
        <v>46196</v>
      </c>
      <c r="O205" s="26" t="s">
        <v>55</v>
      </c>
      <c r="P205" s="44" t="s">
        <v>770</v>
      </c>
      <c r="Q205" s="26" t="s">
        <v>57</v>
      </c>
      <c r="R205" s="44" t="s">
        <v>770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5019</v>
      </c>
      <c r="C206" s="41" t="s">
        <v>5020</v>
      </c>
      <c r="D206" s="39" t="s">
        <v>4618</v>
      </c>
      <c r="E206" s="43">
        <v>46125</v>
      </c>
      <c r="F206" s="26" t="s">
        <v>55</v>
      </c>
      <c r="G206" s="44" t="s">
        <v>770</v>
      </c>
      <c r="H206" s="26" t="s">
        <v>57</v>
      </c>
      <c r="I206" s="44" t="s">
        <v>770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3">
        <v>46196</v>
      </c>
      <c r="O206" s="26" t="s">
        <v>55</v>
      </c>
      <c r="P206" s="44" t="s">
        <v>770</v>
      </c>
      <c r="Q206" s="26" t="s">
        <v>57</v>
      </c>
      <c r="R206" s="44" t="s">
        <v>770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5021</v>
      </c>
      <c r="C207" s="25" t="s">
        <v>5022</v>
      </c>
      <c r="D207" s="23" t="s">
        <v>4618</v>
      </c>
      <c r="E207" s="43">
        <v>46125</v>
      </c>
      <c r="F207" s="26" t="s">
        <v>55</v>
      </c>
      <c r="G207" s="44" t="s">
        <v>770</v>
      </c>
      <c r="H207" s="26" t="s">
        <v>57</v>
      </c>
      <c r="I207" s="44" t="s">
        <v>770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3">
        <v>46196</v>
      </c>
      <c r="O207" s="26" t="s">
        <v>55</v>
      </c>
      <c r="P207" s="44" t="s">
        <v>770</v>
      </c>
      <c r="Q207" s="26" t="s">
        <v>57</v>
      </c>
      <c r="R207" s="44" t="s">
        <v>770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5023</v>
      </c>
      <c r="C208" s="41" t="s">
        <v>5024</v>
      </c>
      <c r="D208" s="39" t="s">
        <v>4618</v>
      </c>
      <c r="E208" s="43">
        <v>46125</v>
      </c>
      <c r="F208" s="26" t="s">
        <v>55</v>
      </c>
      <c r="G208" s="44" t="s">
        <v>770</v>
      </c>
      <c r="H208" s="26" t="s">
        <v>57</v>
      </c>
      <c r="I208" s="44" t="s">
        <v>770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3">
        <v>46196</v>
      </c>
      <c r="O208" s="26" t="s">
        <v>55</v>
      </c>
      <c r="P208" s="44" t="s">
        <v>770</v>
      </c>
      <c r="Q208" s="26" t="s">
        <v>57</v>
      </c>
      <c r="R208" s="44" t="s">
        <v>770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5025</v>
      </c>
      <c r="C209" s="25" t="s">
        <v>5026</v>
      </c>
      <c r="D209" s="23" t="s">
        <v>4618</v>
      </c>
      <c r="E209" s="43">
        <v>46125</v>
      </c>
      <c r="F209" s="26" t="s">
        <v>55</v>
      </c>
      <c r="G209" s="44" t="s">
        <v>770</v>
      </c>
      <c r="H209" s="26" t="s">
        <v>57</v>
      </c>
      <c r="I209" s="44" t="s">
        <v>770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3">
        <v>46196</v>
      </c>
      <c r="O209" s="26" t="s">
        <v>55</v>
      </c>
      <c r="P209" s="44" t="s">
        <v>770</v>
      </c>
      <c r="Q209" s="26" t="s">
        <v>57</v>
      </c>
      <c r="R209" s="44" t="s">
        <v>770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5027</v>
      </c>
      <c r="C210" s="41" t="s">
        <v>5028</v>
      </c>
      <c r="D210" s="39" t="s">
        <v>4618</v>
      </c>
      <c r="E210" s="43">
        <v>46125</v>
      </c>
      <c r="F210" s="26" t="s">
        <v>55</v>
      </c>
      <c r="G210" s="44" t="s">
        <v>770</v>
      </c>
      <c r="H210" s="26" t="s">
        <v>57</v>
      </c>
      <c r="I210" s="44" t="s">
        <v>770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3">
        <v>46196</v>
      </c>
      <c r="O210" s="26" t="s">
        <v>55</v>
      </c>
      <c r="P210" s="44" t="s">
        <v>770</v>
      </c>
      <c r="Q210" s="26" t="s">
        <v>57</v>
      </c>
      <c r="R210" s="44" t="s">
        <v>770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5029</v>
      </c>
      <c r="C211" s="25" t="s">
        <v>5030</v>
      </c>
      <c r="D211" s="23" t="s">
        <v>4618</v>
      </c>
      <c r="E211" s="43">
        <v>46125</v>
      </c>
      <c r="F211" s="26" t="s">
        <v>55</v>
      </c>
      <c r="G211" s="44" t="s">
        <v>56</v>
      </c>
      <c r="H211" s="26" t="s">
        <v>57</v>
      </c>
      <c r="I211" s="44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3">
        <v>46196</v>
      </c>
      <c r="O211" s="26" t="s">
        <v>55</v>
      </c>
      <c r="P211" s="44" t="s">
        <v>56</v>
      </c>
      <c r="Q211" s="26" t="s">
        <v>57</v>
      </c>
      <c r="R211" s="44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5031</v>
      </c>
      <c r="C212" s="41" t="s">
        <v>5032</v>
      </c>
      <c r="D212" s="39" t="s">
        <v>4618</v>
      </c>
      <c r="E212" s="43">
        <v>46125</v>
      </c>
      <c r="F212" s="26" t="s">
        <v>55</v>
      </c>
      <c r="G212" s="44" t="s">
        <v>56</v>
      </c>
      <c r="H212" s="26" t="s">
        <v>57</v>
      </c>
      <c r="I212" s="44" t="s">
        <v>149</v>
      </c>
      <c r="J212" s="26" t="s">
        <v>57</v>
      </c>
      <c r="K212" s="27" t="s">
        <v>5033</v>
      </c>
      <c r="L212" s="28" t="s">
        <v>56</v>
      </c>
      <c r="M212" s="29" t="str">
        <f t="shared" si="15"/>
        <v>⚠ Check</v>
      </c>
      <c r="N212" s="43">
        <v>46196</v>
      </c>
      <c r="O212" s="26" t="s">
        <v>55</v>
      </c>
      <c r="P212" s="44" t="s">
        <v>56</v>
      </c>
      <c r="Q212" s="26" t="s">
        <v>57</v>
      </c>
      <c r="R212" s="44" t="s">
        <v>149</v>
      </c>
      <c r="S212" s="26" t="s">
        <v>57</v>
      </c>
      <c r="T212" s="27" t="s">
        <v>5033</v>
      </c>
      <c r="U212" s="28" t="s">
        <v>56</v>
      </c>
      <c r="V212" s="29" t="str">
        <f t="shared" si="16"/>
        <v>⚠ Check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5034</v>
      </c>
      <c r="C213" s="25" t="s">
        <v>5035</v>
      </c>
      <c r="D213" s="23" t="s">
        <v>4618</v>
      </c>
      <c r="E213" s="43">
        <v>46125</v>
      </c>
      <c r="F213" s="26" t="s">
        <v>55</v>
      </c>
      <c r="G213" s="44" t="s">
        <v>770</v>
      </c>
      <c r="H213" s="26" t="s">
        <v>57</v>
      </c>
      <c r="I213" s="44" t="s">
        <v>770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3">
        <v>46196</v>
      </c>
      <c r="O213" s="26" t="s">
        <v>55</v>
      </c>
      <c r="P213" s="44" t="s">
        <v>770</v>
      </c>
      <c r="Q213" s="26" t="s">
        <v>57</v>
      </c>
      <c r="R213" s="44" t="s">
        <v>770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5036</v>
      </c>
      <c r="C214" s="41" t="s">
        <v>5037</v>
      </c>
      <c r="D214" s="39" t="s">
        <v>4618</v>
      </c>
      <c r="E214" s="43">
        <v>46125</v>
      </c>
      <c r="F214" s="26" t="s">
        <v>55</v>
      </c>
      <c r="G214" s="44" t="s">
        <v>770</v>
      </c>
      <c r="H214" s="26" t="s">
        <v>57</v>
      </c>
      <c r="I214" s="44" t="s">
        <v>770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3">
        <v>46196</v>
      </c>
      <c r="O214" s="26" t="s">
        <v>55</v>
      </c>
      <c r="P214" s="44" t="s">
        <v>770</v>
      </c>
      <c r="Q214" s="26" t="s">
        <v>57</v>
      </c>
      <c r="R214" s="44" t="s">
        <v>770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5038</v>
      </c>
      <c r="C215" s="25" t="s">
        <v>5039</v>
      </c>
      <c r="D215" s="23" t="s">
        <v>4618</v>
      </c>
      <c r="E215" s="43">
        <v>46125</v>
      </c>
      <c r="F215" s="26" t="s">
        <v>55</v>
      </c>
      <c r="G215" s="44" t="s">
        <v>770</v>
      </c>
      <c r="H215" s="26" t="s">
        <v>57</v>
      </c>
      <c r="I215" s="44" t="s">
        <v>770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3">
        <v>46196</v>
      </c>
      <c r="O215" s="26" t="s">
        <v>55</v>
      </c>
      <c r="P215" s="44" t="s">
        <v>770</v>
      </c>
      <c r="Q215" s="26" t="s">
        <v>57</v>
      </c>
      <c r="R215" s="44" t="s">
        <v>770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5040</v>
      </c>
      <c r="C216" s="41" t="s">
        <v>5041</v>
      </c>
      <c r="D216" s="39" t="s">
        <v>4618</v>
      </c>
      <c r="E216" s="43">
        <v>46125</v>
      </c>
      <c r="F216" s="26" t="s">
        <v>55</v>
      </c>
      <c r="G216" s="44" t="s">
        <v>56</v>
      </c>
      <c r="H216" s="26" t="s">
        <v>57</v>
      </c>
      <c r="I216" s="44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3">
        <v>46196</v>
      </c>
      <c r="O216" s="26" t="s">
        <v>55</v>
      </c>
      <c r="P216" s="44" t="s">
        <v>56</v>
      </c>
      <c r="Q216" s="26" t="s">
        <v>57</v>
      </c>
      <c r="R216" s="44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5042</v>
      </c>
      <c r="C217" s="25" t="s">
        <v>5043</v>
      </c>
      <c r="D217" s="23" t="s">
        <v>4618</v>
      </c>
      <c r="E217" s="43">
        <v>46125</v>
      </c>
      <c r="F217" s="26" t="s">
        <v>55</v>
      </c>
      <c r="G217" s="44" t="s">
        <v>770</v>
      </c>
      <c r="H217" s="26" t="s">
        <v>57</v>
      </c>
      <c r="I217" s="44" t="s">
        <v>770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3">
        <v>46196</v>
      </c>
      <c r="O217" s="26" t="s">
        <v>55</v>
      </c>
      <c r="P217" s="44" t="s">
        <v>770</v>
      </c>
      <c r="Q217" s="26" t="s">
        <v>57</v>
      </c>
      <c r="R217" s="44" t="s">
        <v>770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5044</v>
      </c>
      <c r="C218" s="41" t="s">
        <v>5045</v>
      </c>
      <c r="D218" s="39" t="s">
        <v>4618</v>
      </c>
      <c r="E218" s="43">
        <v>46125</v>
      </c>
      <c r="F218" s="26" t="s">
        <v>55</v>
      </c>
      <c r="G218" s="44" t="s">
        <v>770</v>
      </c>
      <c r="H218" s="26" t="s">
        <v>57</v>
      </c>
      <c r="I218" s="44" t="s">
        <v>770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3">
        <v>46196</v>
      </c>
      <c r="O218" s="26" t="s">
        <v>55</v>
      </c>
      <c r="P218" s="44" t="s">
        <v>770</v>
      </c>
      <c r="Q218" s="26" t="s">
        <v>57</v>
      </c>
      <c r="R218" s="44" t="s">
        <v>770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5046</v>
      </c>
      <c r="C219" s="25" t="s">
        <v>5047</v>
      </c>
      <c r="D219" s="23" t="s">
        <v>4618</v>
      </c>
      <c r="E219" s="43">
        <v>46125</v>
      </c>
      <c r="F219" s="26" t="s">
        <v>55</v>
      </c>
      <c r="G219" s="44" t="s">
        <v>770</v>
      </c>
      <c r="H219" s="26" t="s">
        <v>57</v>
      </c>
      <c r="I219" s="44" t="s">
        <v>770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3">
        <v>46196</v>
      </c>
      <c r="O219" s="26" t="s">
        <v>55</v>
      </c>
      <c r="P219" s="44" t="s">
        <v>770</v>
      </c>
      <c r="Q219" s="26" t="s">
        <v>57</v>
      </c>
      <c r="R219" s="44" t="s">
        <v>770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5048</v>
      </c>
      <c r="C220" s="41" t="s">
        <v>5049</v>
      </c>
      <c r="D220" s="39" t="s">
        <v>4618</v>
      </c>
      <c r="E220" s="43">
        <v>46125</v>
      </c>
      <c r="F220" s="26" t="s">
        <v>55</v>
      </c>
      <c r="G220" s="44" t="s">
        <v>770</v>
      </c>
      <c r="H220" s="26" t="s">
        <v>57</v>
      </c>
      <c r="I220" s="44" t="s">
        <v>770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3">
        <v>46196</v>
      </c>
      <c r="O220" s="26" t="s">
        <v>55</v>
      </c>
      <c r="P220" s="44" t="s">
        <v>770</v>
      </c>
      <c r="Q220" s="26" t="s">
        <v>57</v>
      </c>
      <c r="R220" s="44" t="s">
        <v>770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5050</v>
      </c>
      <c r="C221" s="25" t="s">
        <v>5051</v>
      </c>
      <c r="D221" s="23" t="s">
        <v>4618</v>
      </c>
      <c r="E221" s="43">
        <v>46125</v>
      </c>
      <c r="F221" s="26" t="s">
        <v>55</v>
      </c>
      <c r="G221" s="44" t="s">
        <v>770</v>
      </c>
      <c r="H221" s="26" t="s">
        <v>57</v>
      </c>
      <c r="I221" s="44" t="s">
        <v>770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3">
        <v>46196</v>
      </c>
      <c r="O221" s="26" t="s">
        <v>55</v>
      </c>
      <c r="P221" s="44" t="s">
        <v>770</v>
      </c>
      <c r="Q221" s="26" t="s">
        <v>57</v>
      </c>
      <c r="R221" s="44" t="s">
        <v>770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5052</v>
      </c>
      <c r="C222" s="41" t="s">
        <v>5053</v>
      </c>
      <c r="D222" s="39" t="s">
        <v>4618</v>
      </c>
      <c r="E222" s="43">
        <v>46125</v>
      </c>
      <c r="F222" s="26" t="s">
        <v>55</v>
      </c>
      <c r="G222" s="44" t="s">
        <v>770</v>
      </c>
      <c r="H222" s="26" t="s">
        <v>57</v>
      </c>
      <c r="I222" s="44" t="s">
        <v>770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3">
        <v>46196</v>
      </c>
      <c r="O222" s="26" t="s">
        <v>55</v>
      </c>
      <c r="P222" s="44" t="s">
        <v>770</v>
      </c>
      <c r="Q222" s="26" t="s">
        <v>57</v>
      </c>
      <c r="R222" s="44" t="s">
        <v>770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5054</v>
      </c>
      <c r="C223" s="25" t="s">
        <v>5055</v>
      </c>
      <c r="D223" s="23" t="s">
        <v>4618</v>
      </c>
      <c r="E223" s="43">
        <v>46125</v>
      </c>
      <c r="F223" s="26" t="s">
        <v>55</v>
      </c>
      <c r="G223" s="44" t="s">
        <v>770</v>
      </c>
      <c r="H223" s="26" t="s">
        <v>57</v>
      </c>
      <c r="I223" s="44" t="s">
        <v>770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3">
        <v>46196</v>
      </c>
      <c r="O223" s="26" t="s">
        <v>55</v>
      </c>
      <c r="P223" s="44" t="s">
        <v>770</v>
      </c>
      <c r="Q223" s="26" t="s">
        <v>57</v>
      </c>
      <c r="R223" s="44" t="s">
        <v>770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5056</v>
      </c>
      <c r="C224" s="41" t="s">
        <v>5057</v>
      </c>
      <c r="D224" s="39" t="s">
        <v>4618</v>
      </c>
      <c r="E224" s="43">
        <v>46125</v>
      </c>
      <c r="F224" s="26" t="s">
        <v>55</v>
      </c>
      <c r="G224" s="44" t="s">
        <v>56</v>
      </c>
      <c r="H224" s="26" t="s">
        <v>57</v>
      </c>
      <c r="I224" s="44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3">
        <v>46196</v>
      </c>
      <c r="O224" s="26" t="s">
        <v>55</v>
      </c>
      <c r="P224" s="44" t="s">
        <v>56</v>
      </c>
      <c r="Q224" s="26" t="s">
        <v>57</v>
      </c>
      <c r="R224" s="44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5058</v>
      </c>
      <c r="C225" s="25" t="s">
        <v>5059</v>
      </c>
      <c r="D225" s="23" t="s">
        <v>4618</v>
      </c>
      <c r="E225" s="43">
        <v>46125</v>
      </c>
      <c r="F225" s="26" t="s">
        <v>55</v>
      </c>
      <c r="G225" s="44" t="s">
        <v>770</v>
      </c>
      <c r="H225" s="26" t="s">
        <v>57</v>
      </c>
      <c r="I225" s="44" t="s">
        <v>770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3">
        <v>46196</v>
      </c>
      <c r="O225" s="26" t="s">
        <v>55</v>
      </c>
      <c r="P225" s="44" t="s">
        <v>770</v>
      </c>
      <c r="Q225" s="26" t="s">
        <v>57</v>
      </c>
      <c r="R225" s="44" t="s">
        <v>770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5060</v>
      </c>
      <c r="C226" s="41" t="s">
        <v>5061</v>
      </c>
      <c r="D226" s="39" t="s">
        <v>4618</v>
      </c>
      <c r="E226" s="43">
        <v>46125</v>
      </c>
      <c r="F226" s="26" t="s">
        <v>55</v>
      </c>
      <c r="G226" s="44" t="s">
        <v>770</v>
      </c>
      <c r="H226" s="26" t="s">
        <v>57</v>
      </c>
      <c r="I226" s="44" t="s">
        <v>770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3">
        <v>46196</v>
      </c>
      <c r="O226" s="26" t="s">
        <v>55</v>
      </c>
      <c r="P226" s="44" t="s">
        <v>770</v>
      </c>
      <c r="Q226" s="26" t="s">
        <v>57</v>
      </c>
      <c r="R226" s="44" t="s">
        <v>770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5062</v>
      </c>
      <c r="C227" s="25" t="s">
        <v>5063</v>
      </c>
      <c r="D227" s="23" t="s">
        <v>4618</v>
      </c>
      <c r="E227" s="43">
        <v>46125</v>
      </c>
      <c r="F227" s="26" t="s">
        <v>55</v>
      </c>
      <c r="G227" s="44" t="s">
        <v>770</v>
      </c>
      <c r="H227" s="26" t="s">
        <v>57</v>
      </c>
      <c r="I227" s="44" t="s">
        <v>770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3">
        <v>46196</v>
      </c>
      <c r="O227" s="26" t="s">
        <v>55</v>
      </c>
      <c r="P227" s="44" t="s">
        <v>770</v>
      </c>
      <c r="Q227" s="26" t="s">
        <v>57</v>
      </c>
      <c r="R227" s="44" t="s">
        <v>770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5064</v>
      </c>
      <c r="C228" s="41" t="s">
        <v>5065</v>
      </c>
      <c r="D228" s="39" t="s">
        <v>4618</v>
      </c>
      <c r="E228" s="43">
        <v>46125</v>
      </c>
      <c r="F228" s="26" t="s">
        <v>55</v>
      </c>
      <c r="G228" s="44" t="s">
        <v>56</v>
      </c>
      <c r="H228" s="26" t="s">
        <v>57</v>
      </c>
      <c r="I228" s="44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3">
        <v>46196</v>
      </c>
      <c r="O228" s="26" t="s">
        <v>55</v>
      </c>
      <c r="P228" s="44" t="s">
        <v>56</v>
      </c>
      <c r="Q228" s="26" t="s">
        <v>57</v>
      </c>
      <c r="R228" s="44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5066</v>
      </c>
      <c r="C229" s="25" t="s">
        <v>5067</v>
      </c>
      <c r="D229" s="23" t="s">
        <v>4618</v>
      </c>
      <c r="E229" s="43">
        <v>46125</v>
      </c>
      <c r="F229" s="26" t="s">
        <v>55</v>
      </c>
      <c r="G229" s="44" t="s">
        <v>770</v>
      </c>
      <c r="H229" s="26" t="s">
        <v>57</v>
      </c>
      <c r="I229" s="44" t="s">
        <v>770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3">
        <v>46196</v>
      </c>
      <c r="O229" s="26" t="s">
        <v>55</v>
      </c>
      <c r="P229" s="44" t="s">
        <v>770</v>
      </c>
      <c r="Q229" s="26" t="s">
        <v>57</v>
      </c>
      <c r="R229" s="44" t="s">
        <v>770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5068</v>
      </c>
      <c r="C230" s="41" t="s">
        <v>5069</v>
      </c>
      <c r="D230" s="39" t="s">
        <v>4618</v>
      </c>
      <c r="E230" s="43">
        <v>46125</v>
      </c>
      <c r="F230" s="26" t="s">
        <v>55</v>
      </c>
      <c r="G230" s="44" t="s">
        <v>770</v>
      </c>
      <c r="H230" s="26" t="s">
        <v>57</v>
      </c>
      <c r="I230" s="44" t="s">
        <v>770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3">
        <v>46196</v>
      </c>
      <c r="O230" s="26" t="s">
        <v>55</v>
      </c>
      <c r="P230" s="44" t="s">
        <v>770</v>
      </c>
      <c r="Q230" s="26" t="s">
        <v>57</v>
      </c>
      <c r="R230" s="44" t="s">
        <v>770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5070</v>
      </c>
      <c r="C231" s="25" t="s">
        <v>5071</v>
      </c>
      <c r="D231" s="23" t="s">
        <v>4618</v>
      </c>
      <c r="E231" s="43">
        <v>46125</v>
      </c>
      <c r="F231" s="26" t="s">
        <v>55</v>
      </c>
      <c r="G231" s="44" t="s">
        <v>770</v>
      </c>
      <c r="H231" s="26" t="s">
        <v>57</v>
      </c>
      <c r="I231" s="44" t="s">
        <v>770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3">
        <v>46196</v>
      </c>
      <c r="O231" s="26" t="s">
        <v>55</v>
      </c>
      <c r="P231" s="44" t="s">
        <v>770</v>
      </c>
      <c r="Q231" s="26" t="s">
        <v>57</v>
      </c>
      <c r="R231" s="44" t="s">
        <v>770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5072</v>
      </c>
      <c r="C232" s="41" t="s">
        <v>5073</v>
      </c>
      <c r="D232" s="39" t="s">
        <v>4618</v>
      </c>
      <c r="E232" s="43">
        <v>46125</v>
      </c>
      <c r="F232" s="26" t="s">
        <v>55</v>
      </c>
      <c r="G232" s="44" t="s">
        <v>56</v>
      </c>
      <c r="H232" s="26" t="s">
        <v>57</v>
      </c>
      <c r="I232" s="44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3">
        <v>46196</v>
      </c>
      <c r="O232" s="26" t="s">
        <v>55</v>
      </c>
      <c r="P232" s="44" t="s">
        <v>56</v>
      </c>
      <c r="Q232" s="26" t="s">
        <v>57</v>
      </c>
      <c r="R232" s="44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5074</v>
      </c>
      <c r="C233" s="25" t="s">
        <v>5075</v>
      </c>
      <c r="D233" s="23" t="s">
        <v>4618</v>
      </c>
      <c r="E233" s="43">
        <v>46125</v>
      </c>
      <c r="F233" s="26" t="s">
        <v>55</v>
      </c>
      <c r="G233" s="44" t="s">
        <v>770</v>
      </c>
      <c r="H233" s="26" t="s">
        <v>57</v>
      </c>
      <c r="I233" s="44" t="s">
        <v>770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3">
        <v>46196</v>
      </c>
      <c r="O233" s="26" t="s">
        <v>55</v>
      </c>
      <c r="P233" s="44" t="s">
        <v>770</v>
      </c>
      <c r="Q233" s="26" t="s">
        <v>57</v>
      </c>
      <c r="R233" s="44" t="s">
        <v>770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5076</v>
      </c>
      <c r="C234" s="41" t="s">
        <v>5077</v>
      </c>
      <c r="D234" s="39" t="s">
        <v>4618</v>
      </c>
      <c r="E234" s="43">
        <v>46125</v>
      </c>
      <c r="F234" s="26" t="s">
        <v>55</v>
      </c>
      <c r="G234" s="44" t="s">
        <v>770</v>
      </c>
      <c r="H234" s="26" t="s">
        <v>57</v>
      </c>
      <c r="I234" s="44" t="s">
        <v>770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3">
        <v>46196</v>
      </c>
      <c r="O234" s="26" t="s">
        <v>55</v>
      </c>
      <c r="P234" s="44" t="s">
        <v>770</v>
      </c>
      <c r="Q234" s="26" t="s">
        <v>57</v>
      </c>
      <c r="R234" s="44" t="s">
        <v>770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5078</v>
      </c>
      <c r="C235" s="25" t="s">
        <v>5079</v>
      </c>
      <c r="D235" s="23" t="s">
        <v>4618</v>
      </c>
      <c r="E235" s="43">
        <v>46125</v>
      </c>
      <c r="F235" s="26" t="s">
        <v>55</v>
      </c>
      <c r="G235" s="44" t="s">
        <v>770</v>
      </c>
      <c r="H235" s="26" t="s">
        <v>57</v>
      </c>
      <c r="I235" s="44" t="s">
        <v>770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3">
        <v>46196</v>
      </c>
      <c r="O235" s="26" t="s">
        <v>55</v>
      </c>
      <c r="P235" s="44" t="s">
        <v>770</v>
      </c>
      <c r="Q235" s="26" t="s">
        <v>57</v>
      </c>
      <c r="R235" s="44" t="s">
        <v>770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5080</v>
      </c>
      <c r="C236" s="41" t="s">
        <v>5081</v>
      </c>
      <c r="D236" s="39" t="s">
        <v>4618</v>
      </c>
      <c r="E236" s="43">
        <v>46125</v>
      </c>
      <c r="F236" s="26" t="s">
        <v>55</v>
      </c>
      <c r="G236" s="44" t="s">
        <v>770</v>
      </c>
      <c r="H236" s="26" t="s">
        <v>57</v>
      </c>
      <c r="I236" s="44" t="s">
        <v>770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3">
        <v>46196</v>
      </c>
      <c r="O236" s="26" t="s">
        <v>55</v>
      </c>
      <c r="P236" s="44" t="s">
        <v>770</v>
      </c>
      <c r="Q236" s="26" t="s">
        <v>57</v>
      </c>
      <c r="R236" s="44" t="s">
        <v>770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5082</v>
      </c>
      <c r="C237" s="25" t="s">
        <v>5083</v>
      </c>
      <c r="D237" s="23" t="s">
        <v>4618</v>
      </c>
      <c r="E237" s="43">
        <v>46125</v>
      </c>
      <c r="F237" s="26" t="s">
        <v>55</v>
      </c>
      <c r="G237" s="44" t="s">
        <v>770</v>
      </c>
      <c r="H237" s="26" t="s">
        <v>57</v>
      </c>
      <c r="I237" s="44" t="s">
        <v>770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3">
        <v>46196</v>
      </c>
      <c r="O237" s="26" t="s">
        <v>55</v>
      </c>
      <c r="P237" s="44" t="s">
        <v>770</v>
      </c>
      <c r="Q237" s="26" t="s">
        <v>57</v>
      </c>
      <c r="R237" s="44" t="s">
        <v>770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5084</v>
      </c>
      <c r="C238" s="41" t="s">
        <v>5085</v>
      </c>
      <c r="D238" s="39" t="s">
        <v>4618</v>
      </c>
      <c r="E238" s="43">
        <v>46125</v>
      </c>
      <c r="F238" s="26" t="s">
        <v>55</v>
      </c>
      <c r="G238" s="44" t="s">
        <v>770</v>
      </c>
      <c r="H238" s="26" t="s">
        <v>57</v>
      </c>
      <c r="I238" s="44" t="s">
        <v>770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3">
        <v>46196</v>
      </c>
      <c r="O238" s="26" t="s">
        <v>55</v>
      </c>
      <c r="P238" s="44" t="s">
        <v>770</v>
      </c>
      <c r="Q238" s="26" t="s">
        <v>57</v>
      </c>
      <c r="R238" s="44" t="s">
        <v>770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5086</v>
      </c>
      <c r="C239" s="25" t="s">
        <v>5087</v>
      </c>
      <c r="D239" s="23" t="s">
        <v>4618</v>
      </c>
      <c r="E239" s="43">
        <v>46125</v>
      </c>
      <c r="F239" s="26" t="s">
        <v>55</v>
      </c>
      <c r="G239" s="44" t="s">
        <v>770</v>
      </c>
      <c r="H239" s="26" t="s">
        <v>57</v>
      </c>
      <c r="I239" s="44" t="s">
        <v>770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3">
        <v>46196</v>
      </c>
      <c r="O239" s="26" t="s">
        <v>55</v>
      </c>
      <c r="P239" s="44" t="s">
        <v>770</v>
      </c>
      <c r="Q239" s="26" t="s">
        <v>57</v>
      </c>
      <c r="R239" s="44" t="s">
        <v>770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5088</v>
      </c>
      <c r="C240" s="41" t="s">
        <v>5089</v>
      </c>
      <c r="D240" s="39" t="s">
        <v>4618</v>
      </c>
      <c r="E240" s="43">
        <v>46125</v>
      </c>
      <c r="F240" s="26" t="s">
        <v>55</v>
      </c>
      <c r="G240" s="44" t="s">
        <v>770</v>
      </c>
      <c r="H240" s="26" t="s">
        <v>57</v>
      </c>
      <c r="I240" s="44" t="s">
        <v>770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3">
        <v>46196</v>
      </c>
      <c r="O240" s="26" t="s">
        <v>55</v>
      </c>
      <c r="P240" s="44" t="s">
        <v>770</v>
      </c>
      <c r="Q240" s="26" t="s">
        <v>57</v>
      </c>
      <c r="R240" s="44" t="s">
        <v>770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5090</v>
      </c>
      <c r="C241" s="25" t="s">
        <v>5091</v>
      </c>
      <c r="D241" s="23" t="s">
        <v>4618</v>
      </c>
      <c r="E241" s="43">
        <v>46125</v>
      </c>
      <c r="F241" s="26" t="s">
        <v>55</v>
      </c>
      <c r="G241" s="44" t="s">
        <v>770</v>
      </c>
      <c r="H241" s="26" t="s">
        <v>57</v>
      </c>
      <c r="I241" s="44" t="s">
        <v>770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3">
        <v>46196</v>
      </c>
      <c r="O241" s="26" t="s">
        <v>55</v>
      </c>
      <c r="P241" s="44" t="s">
        <v>770</v>
      </c>
      <c r="Q241" s="26" t="s">
        <v>57</v>
      </c>
      <c r="R241" s="44" t="s">
        <v>770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5092</v>
      </c>
      <c r="C242" s="41" t="s">
        <v>5093</v>
      </c>
      <c r="D242" s="39" t="s">
        <v>4618</v>
      </c>
      <c r="E242" s="43">
        <v>46125</v>
      </c>
      <c r="F242" s="26" t="s">
        <v>55</v>
      </c>
      <c r="G242" s="44" t="s">
        <v>770</v>
      </c>
      <c r="H242" s="26" t="s">
        <v>57</v>
      </c>
      <c r="I242" s="44" t="s">
        <v>770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3">
        <v>46196</v>
      </c>
      <c r="O242" s="26" t="s">
        <v>55</v>
      </c>
      <c r="P242" s="44" t="s">
        <v>770</v>
      </c>
      <c r="Q242" s="26" t="s">
        <v>57</v>
      </c>
      <c r="R242" s="44" t="s">
        <v>770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5094</v>
      </c>
      <c r="C243" s="25" t="s">
        <v>5095</v>
      </c>
      <c r="D243" s="23" t="s">
        <v>4618</v>
      </c>
      <c r="E243" s="43">
        <v>46125</v>
      </c>
      <c r="F243" s="26" t="s">
        <v>55</v>
      </c>
      <c r="G243" s="44" t="s">
        <v>770</v>
      </c>
      <c r="H243" s="26" t="s">
        <v>57</v>
      </c>
      <c r="I243" s="44" t="s">
        <v>770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3">
        <v>46196</v>
      </c>
      <c r="O243" s="26" t="s">
        <v>55</v>
      </c>
      <c r="P243" s="44" t="s">
        <v>770</v>
      </c>
      <c r="Q243" s="26" t="s">
        <v>57</v>
      </c>
      <c r="R243" s="44" t="s">
        <v>770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5096</v>
      </c>
      <c r="C244" s="41" t="s">
        <v>5097</v>
      </c>
      <c r="D244" s="39" t="s">
        <v>4618</v>
      </c>
      <c r="E244" s="43">
        <v>46125</v>
      </c>
      <c r="F244" s="26" t="s">
        <v>55</v>
      </c>
      <c r="G244" s="44" t="s">
        <v>56</v>
      </c>
      <c r="H244" s="26" t="s">
        <v>57</v>
      </c>
      <c r="I244" s="44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3">
        <v>46196</v>
      </c>
      <c r="O244" s="26" t="s">
        <v>55</v>
      </c>
      <c r="P244" s="44" t="s">
        <v>56</v>
      </c>
      <c r="Q244" s="26" t="s">
        <v>57</v>
      </c>
      <c r="R244" s="44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5098</v>
      </c>
      <c r="C245" s="25" t="s">
        <v>5099</v>
      </c>
      <c r="D245" s="23" t="s">
        <v>4618</v>
      </c>
      <c r="E245" s="43">
        <v>46125</v>
      </c>
      <c r="F245" s="26" t="s">
        <v>55</v>
      </c>
      <c r="G245" s="44" t="s">
        <v>770</v>
      </c>
      <c r="H245" s="26" t="s">
        <v>57</v>
      </c>
      <c r="I245" s="44" t="s">
        <v>770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3">
        <v>46196</v>
      </c>
      <c r="O245" s="26" t="s">
        <v>55</v>
      </c>
      <c r="P245" s="44" t="s">
        <v>770</v>
      </c>
      <c r="Q245" s="26" t="s">
        <v>57</v>
      </c>
      <c r="R245" s="44" t="s">
        <v>770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5100</v>
      </c>
      <c r="C246" s="41" t="s">
        <v>5101</v>
      </c>
      <c r="D246" s="39" t="s">
        <v>4618</v>
      </c>
      <c r="E246" s="43">
        <v>46125</v>
      </c>
      <c r="F246" s="26" t="s">
        <v>55</v>
      </c>
      <c r="G246" s="44" t="s">
        <v>770</v>
      </c>
      <c r="H246" s="26" t="s">
        <v>57</v>
      </c>
      <c r="I246" s="44" t="s">
        <v>770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3">
        <v>46196</v>
      </c>
      <c r="O246" s="26" t="s">
        <v>55</v>
      </c>
      <c r="P246" s="44" t="s">
        <v>770</v>
      </c>
      <c r="Q246" s="26" t="s">
        <v>57</v>
      </c>
      <c r="R246" s="44" t="s">
        <v>770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5102</v>
      </c>
      <c r="C247" s="25" t="s">
        <v>5103</v>
      </c>
      <c r="D247" s="23" t="s">
        <v>4618</v>
      </c>
      <c r="E247" s="43">
        <v>46125</v>
      </c>
      <c r="F247" s="26" t="s">
        <v>55</v>
      </c>
      <c r="G247" s="44" t="s">
        <v>770</v>
      </c>
      <c r="H247" s="26" t="s">
        <v>57</v>
      </c>
      <c r="I247" s="44" t="s">
        <v>770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3">
        <v>46196</v>
      </c>
      <c r="O247" s="26" t="s">
        <v>55</v>
      </c>
      <c r="P247" s="44" t="s">
        <v>770</v>
      </c>
      <c r="Q247" s="26" t="s">
        <v>57</v>
      </c>
      <c r="R247" s="44" t="s">
        <v>770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5104</v>
      </c>
      <c r="C248" s="41" t="s">
        <v>5105</v>
      </c>
      <c r="D248" s="39" t="s">
        <v>4618</v>
      </c>
      <c r="E248" s="43">
        <v>46125</v>
      </c>
      <c r="F248" s="26" t="s">
        <v>55</v>
      </c>
      <c r="G248" s="44" t="s">
        <v>770</v>
      </c>
      <c r="H248" s="26" t="s">
        <v>57</v>
      </c>
      <c r="I248" s="44" t="s">
        <v>770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3">
        <v>46196</v>
      </c>
      <c r="O248" s="26" t="s">
        <v>55</v>
      </c>
      <c r="P248" s="44" t="s">
        <v>770</v>
      </c>
      <c r="Q248" s="26" t="s">
        <v>57</v>
      </c>
      <c r="R248" s="44" t="s">
        <v>770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5106</v>
      </c>
      <c r="C249" s="25" t="s">
        <v>5107</v>
      </c>
      <c r="D249" s="23" t="s">
        <v>4618</v>
      </c>
      <c r="E249" s="43">
        <v>46125</v>
      </c>
      <c r="F249" s="26" t="s">
        <v>55</v>
      </c>
      <c r="G249" s="44" t="s">
        <v>770</v>
      </c>
      <c r="H249" s="26" t="s">
        <v>57</v>
      </c>
      <c r="I249" s="44" t="s">
        <v>770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3">
        <v>46196</v>
      </c>
      <c r="O249" s="26" t="s">
        <v>55</v>
      </c>
      <c r="P249" s="44" t="s">
        <v>770</v>
      </c>
      <c r="Q249" s="26" t="s">
        <v>57</v>
      </c>
      <c r="R249" s="44" t="s">
        <v>770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5108</v>
      </c>
      <c r="C250" s="41" t="s">
        <v>5109</v>
      </c>
      <c r="D250" s="39" t="s">
        <v>4618</v>
      </c>
      <c r="E250" s="43">
        <v>46125</v>
      </c>
      <c r="F250" s="26" t="s">
        <v>55</v>
      </c>
      <c r="G250" s="44" t="s">
        <v>770</v>
      </c>
      <c r="H250" s="26" t="s">
        <v>57</v>
      </c>
      <c r="I250" s="44" t="s">
        <v>770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3">
        <v>46196</v>
      </c>
      <c r="O250" s="26" t="s">
        <v>55</v>
      </c>
      <c r="P250" s="44" t="s">
        <v>770</v>
      </c>
      <c r="Q250" s="26" t="s">
        <v>57</v>
      </c>
      <c r="R250" s="44" t="s">
        <v>770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5110</v>
      </c>
      <c r="C251" s="25" t="s">
        <v>5111</v>
      </c>
      <c r="D251" s="23" t="s">
        <v>4618</v>
      </c>
      <c r="E251" s="43">
        <v>46125</v>
      </c>
      <c r="F251" s="26" t="s">
        <v>55</v>
      </c>
      <c r="G251" s="44" t="s">
        <v>56</v>
      </c>
      <c r="H251" s="26" t="s">
        <v>57</v>
      </c>
      <c r="I251" s="44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3">
        <v>46196</v>
      </c>
      <c r="O251" s="26" t="s">
        <v>55</v>
      </c>
      <c r="P251" s="44" t="s">
        <v>56</v>
      </c>
      <c r="Q251" s="26" t="s">
        <v>57</v>
      </c>
      <c r="R251" s="44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5112</v>
      </c>
      <c r="C252" s="41" t="s">
        <v>5113</v>
      </c>
      <c r="D252" s="39" t="s">
        <v>4618</v>
      </c>
      <c r="E252" s="43">
        <v>46125</v>
      </c>
      <c r="F252" s="26" t="s">
        <v>55</v>
      </c>
      <c r="G252" s="44" t="s">
        <v>770</v>
      </c>
      <c r="H252" s="26" t="s">
        <v>57</v>
      </c>
      <c r="I252" s="44" t="s">
        <v>770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3">
        <v>46196</v>
      </c>
      <c r="O252" s="26" t="s">
        <v>55</v>
      </c>
      <c r="P252" s="44" t="s">
        <v>770</v>
      </c>
      <c r="Q252" s="26" t="s">
        <v>57</v>
      </c>
      <c r="R252" s="44" t="s">
        <v>770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5114</v>
      </c>
      <c r="C253" s="25" t="s">
        <v>5115</v>
      </c>
      <c r="D253" s="23" t="s">
        <v>4618</v>
      </c>
      <c r="E253" s="43">
        <v>46125</v>
      </c>
      <c r="F253" s="26" t="s">
        <v>55</v>
      </c>
      <c r="G253" s="44" t="s">
        <v>770</v>
      </c>
      <c r="H253" s="26" t="s">
        <v>57</v>
      </c>
      <c r="I253" s="44" t="s">
        <v>770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3">
        <v>46196</v>
      </c>
      <c r="O253" s="26" t="s">
        <v>55</v>
      </c>
      <c r="P253" s="44" t="s">
        <v>770</v>
      </c>
      <c r="Q253" s="26" t="s">
        <v>57</v>
      </c>
      <c r="R253" s="44" t="s">
        <v>770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5116</v>
      </c>
      <c r="C254" s="41" t="s">
        <v>5117</v>
      </c>
      <c r="D254" s="39" t="s">
        <v>4618</v>
      </c>
      <c r="E254" s="43">
        <v>46125</v>
      </c>
      <c r="F254" s="26" t="s">
        <v>55</v>
      </c>
      <c r="G254" s="44" t="s">
        <v>770</v>
      </c>
      <c r="H254" s="26" t="s">
        <v>57</v>
      </c>
      <c r="I254" s="44" t="s">
        <v>770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3">
        <v>46196</v>
      </c>
      <c r="O254" s="26" t="s">
        <v>55</v>
      </c>
      <c r="P254" s="44" t="s">
        <v>770</v>
      </c>
      <c r="Q254" s="26" t="s">
        <v>57</v>
      </c>
      <c r="R254" s="44" t="s">
        <v>770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5118</v>
      </c>
      <c r="C255" s="25" t="s">
        <v>5119</v>
      </c>
      <c r="D255" s="23" t="s">
        <v>4618</v>
      </c>
      <c r="E255" s="43">
        <v>46125</v>
      </c>
      <c r="F255" s="26" t="s">
        <v>55</v>
      </c>
      <c r="G255" s="44" t="s">
        <v>770</v>
      </c>
      <c r="H255" s="26" t="s">
        <v>57</v>
      </c>
      <c r="I255" s="44" t="s">
        <v>770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3">
        <v>46196</v>
      </c>
      <c r="O255" s="26" t="s">
        <v>55</v>
      </c>
      <c r="P255" s="44" t="s">
        <v>770</v>
      </c>
      <c r="Q255" s="26" t="s">
        <v>57</v>
      </c>
      <c r="R255" s="44" t="s">
        <v>770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5120</v>
      </c>
      <c r="C256" s="41" t="s">
        <v>5121</v>
      </c>
      <c r="D256" s="39" t="s">
        <v>4618</v>
      </c>
      <c r="E256" s="43">
        <v>46125</v>
      </c>
      <c r="F256" s="26" t="s">
        <v>55</v>
      </c>
      <c r="G256" s="44" t="s">
        <v>770</v>
      </c>
      <c r="H256" s="26" t="s">
        <v>57</v>
      </c>
      <c r="I256" s="44" t="s">
        <v>770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3">
        <v>46196</v>
      </c>
      <c r="O256" s="26" t="s">
        <v>55</v>
      </c>
      <c r="P256" s="44" t="s">
        <v>770</v>
      </c>
      <c r="Q256" s="26" t="s">
        <v>57</v>
      </c>
      <c r="R256" s="44" t="s">
        <v>770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5122</v>
      </c>
      <c r="C257" s="25" t="s">
        <v>5123</v>
      </c>
      <c r="D257" s="23" t="s">
        <v>4618</v>
      </c>
      <c r="E257" s="43">
        <v>46125</v>
      </c>
      <c r="F257" s="26" t="s">
        <v>55</v>
      </c>
      <c r="G257" s="44" t="s">
        <v>770</v>
      </c>
      <c r="H257" s="26" t="s">
        <v>57</v>
      </c>
      <c r="I257" s="44" t="s">
        <v>770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3">
        <v>46196</v>
      </c>
      <c r="O257" s="26" t="s">
        <v>55</v>
      </c>
      <c r="P257" s="44" t="s">
        <v>770</v>
      </c>
      <c r="Q257" s="26" t="s">
        <v>57</v>
      </c>
      <c r="R257" s="44" t="s">
        <v>770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5124</v>
      </c>
      <c r="C258" s="41" t="s">
        <v>5125</v>
      </c>
      <c r="D258" s="39" t="s">
        <v>4618</v>
      </c>
      <c r="E258" s="43">
        <v>46125</v>
      </c>
      <c r="F258" s="26" t="s">
        <v>55</v>
      </c>
      <c r="G258" s="44" t="s">
        <v>770</v>
      </c>
      <c r="H258" s="26" t="s">
        <v>57</v>
      </c>
      <c r="I258" s="44" t="s">
        <v>770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3">
        <v>46196</v>
      </c>
      <c r="O258" s="26" t="s">
        <v>55</v>
      </c>
      <c r="P258" s="44" t="s">
        <v>770</v>
      </c>
      <c r="Q258" s="26" t="s">
        <v>57</v>
      </c>
      <c r="R258" s="44" t="s">
        <v>770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5126</v>
      </c>
      <c r="C259" s="25" t="s">
        <v>5127</v>
      </c>
      <c r="D259" s="23" t="s">
        <v>4618</v>
      </c>
      <c r="E259" s="43">
        <v>46125</v>
      </c>
      <c r="F259" s="26" t="s">
        <v>55</v>
      </c>
      <c r="G259" s="44" t="s">
        <v>770</v>
      </c>
      <c r="H259" s="26" t="s">
        <v>57</v>
      </c>
      <c r="I259" s="44" t="s">
        <v>770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3">
        <v>46196</v>
      </c>
      <c r="O259" s="26" t="s">
        <v>55</v>
      </c>
      <c r="P259" s="44" t="s">
        <v>770</v>
      </c>
      <c r="Q259" s="26" t="s">
        <v>57</v>
      </c>
      <c r="R259" s="44" t="s">
        <v>770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5128</v>
      </c>
      <c r="C260" s="41" t="s">
        <v>5129</v>
      </c>
      <c r="D260" s="39" t="s">
        <v>4618</v>
      </c>
      <c r="E260" s="43">
        <v>46125</v>
      </c>
      <c r="F260" s="26" t="s">
        <v>55</v>
      </c>
      <c r="G260" s="44" t="s">
        <v>770</v>
      </c>
      <c r="H260" s="26" t="s">
        <v>57</v>
      </c>
      <c r="I260" s="44" t="s">
        <v>770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3">
        <v>46196</v>
      </c>
      <c r="O260" s="26" t="s">
        <v>55</v>
      </c>
      <c r="P260" s="44" t="s">
        <v>770</v>
      </c>
      <c r="Q260" s="26" t="s">
        <v>57</v>
      </c>
      <c r="R260" s="44" t="s">
        <v>770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5130</v>
      </c>
      <c r="C261" s="25" t="s">
        <v>5131</v>
      </c>
      <c r="D261" s="23" t="s">
        <v>4618</v>
      </c>
      <c r="E261" s="43">
        <v>46125</v>
      </c>
      <c r="F261" s="26" t="s">
        <v>55</v>
      </c>
      <c r="G261" s="44" t="s">
        <v>770</v>
      </c>
      <c r="H261" s="26" t="s">
        <v>57</v>
      </c>
      <c r="I261" s="44" t="s">
        <v>770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43">
        <v>46196</v>
      </c>
      <c r="O261" s="26" t="s">
        <v>55</v>
      </c>
      <c r="P261" s="44" t="s">
        <v>770</v>
      </c>
      <c r="Q261" s="26" t="s">
        <v>57</v>
      </c>
      <c r="R261" s="44" t="s">
        <v>770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5132</v>
      </c>
      <c r="C262" s="41" t="s">
        <v>5133</v>
      </c>
      <c r="D262" s="39" t="s">
        <v>4618</v>
      </c>
      <c r="E262" s="43">
        <v>46125</v>
      </c>
      <c r="F262" s="26" t="s">
        <v>55</v>
      </c>
      <c r="G262" s="44" t="s">
        <v>770</v>
      </c>
      <c r="H262" s="26" t="s">
        <v>57</v>
      </c>
      <c r="I262" s="44" t="s">
        <v>770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3">
        <v>46196</v>
      </c>
      <c r="O262" s="26" t="s">
        <v>55</v>
      </c>
      <c r="P262" s="44" t="s">
        <v>770</v>
      </c>
      <c r="Q262" s="26" t="s">
        <v>57</v>
      </c>
      <c r="R262" s="44" t="s">
        <v>770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5134</v>
      </c>
      <c r="C263" s="25" t="s">
        <v>5135</v>
      </c>
      <c r="D263" s="23" t="s">
        <v>4618</v>
      </c>
      <c r="E263" s="43">
        <v>46125</v>
      </c>
      <c r="F263" s="26" t="s">
        <v>55</v>
      </c>
      <c r="G263" s="44" t="s">
        <v>770</v>
      </c>
      <c r="H263" s="26" t="s">
        <v>57</v>
      </c>
      <c r="I263" s="44" t="s">
        <v>770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3">
        <v>46196</v>
      </c>
      <c r="O263" s="26" t="s">
        <v>55</v>
      </c>
      <c r="P263" s="44" t="s">
        <v>770</v>
      </c>
      <c r="Q263" s="26" t="s">
        <v>57</v>
      </c>
      <c r="R263" s="44" t="s">
        <v>770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5136</v>
      </c>
      <c r="C264" s="41" t="s">
        <v>5137</v>
      </c>
      <c r="D264" s="39" t="s">
        <v>4618</v>
      </c>
      <c r="E264" s="43">
        <v>46125</v>
      </c>
      <c r="F264" s="26" t="s">
        <v>55</v>
      </c>
      <c r="G264" s="44" t="s">
        <v>770</v>
      </c>
      <c r="H264" s="26" t="s">
        <v>57</v>
      </c>
      <c r="I264" s="44" t="s">
        <v>770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3">
        <v>46196</v>
      </c>
      <c r="O264" s="26" t="s">
        <v>55</v>
      </c>
      <c r="P264" s="44" t="s">
        <v>770</v>
      </c>
      <c r="Q264" s="26" t="s">
        <v>57</v>
      </c>
      <c r="R264" s="44" t="s">
        <v>770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5138</v>
      </c>
      <c r="C265" s="25" t="s">
        <v>5139</v>
      </c>
      <c r="D265" s="23" t="s">
        <v>4618</v>
      </c>
      <c r="E265" s="43">
        <v>46125</v>
      </c>
      <c r="F265" s="26" t="s">
        <v>55</v>
      </c>
      <c r="G265" s="44" t="s">
        <v>770</v>
      </c>
      <c r="H265" s="26" t="s">
        <v>57</v>
      </c>
      <c r="I265" s="44" t="s">
        <v>770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3">
        <v>46196</v>
      </c>
      <c r="O265" s="26" t="s">
        <v>55</v>
      </c>
      <c r="P265" s="44" t="s">
        <v>770</v>
      </c>
      <c r="Q265" s="26" t="s">
        <v>57</v>
      </c>
      <c r="R265" s="44" t="s">
        <v>770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5140</v>
      </c>
      <c r="C266" s="41" t="s">
        <v>5141</v>
      </c>
      <c r="D266" s="39" t="s">
        <v>4618</v>
      </c>
      <c r="E266" s="43">
        <v>46125</v>
      </c>
      <c r="F266" s="26" t="s">
        <v>55</v>
      </c>
      <c r="G266" s="44" t="s">
        <v>770</v>
      </c>
      <c r="H266" s="26" t="s">
        <v>57</v>
      </c>
      <c r="I266" s="44" t="s">
        <v>770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3">
        <v>46196</v>
      </c>
      <c r="O266" s="26" t="s">
        <v>55</v>
      </c>
      <c r="P266" s="44" t="s">
        <v>770</v>
      </c>
      <c r="Q266" s="26" t="s">
        <v>57</v>
      </c>
      <c r="R266" s="44" t="s">
        <v>770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5142</v>
      </c>
      <c r="C267" s="25" t="s">
        <v>5143</v>
      </c>
      <c r="D267" s="23" t="s">
        <v>4618</v>
      </c>
      <c r="E267" s="43">
        <v>46125</v>
      </c>
      <c r="F267" s="26" t="s">
        <v>55</v>
      </c>
      <c r="G267" s="44" t="s">
        <v>770</v>
      </c>
      <c r="H267" s="26" t="s">
        <v>57</v>
      </c>
      <c r="I267" s="44" t="s">
        <v>770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3">
        <v>46196</v>
      </c>
      <c r="O267" s="26" t="s">
        <v>55</v>
      </c>
      <c r="P267" s="44" t="s">
        <v>770</v>
      </c>
      <c r="Q267" s="26" t="s">
        <v>57</v>
      </c>
      <c r="R267" s="44" t="s">
        <v>770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5144</v>
      </c>
      <c r="C268" s="41" t="s">
        <v>5145</v>
      </c>
      <c r="D268" s="39" t="s">
        <v>4618</v>
      </c>
      <c r="E268" s="43">
        <v>46125</v>
      </c>
      <c r="F268" s="26" t="s">
        <v>55</v>
      </c>
      <c r="G268" s="44" t="s">
        <v>56</v>
      </c>
      <c r="H268" s="26" t="s">
        <v>57</v>
      </c>
      <c r="I268" s="44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3">
        <v>46196</v>
      </c>
      <c r="O268" s="26" t="s">
        <v>55</v>
      </c>
      <c r="P268" s="44" t="s">
        <v>56</v>
      </c>
      <c r="Q268" s="26" t="s">
        <v>57</v>
      </c>
      <c r="R268" s="44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5146</v>
      </c>
      <c r="C269" s="25" t="s">
        <v>5147</v>
      </c>
      <c r="D269" s="23" t="s">
        <v>4618</v>
      </c>
      <c r="E269" s="43">
        <v>46125</v>
      </c>
      <c r="F269" s="26" t="s">
        <v>55</v>
      </c>
      <c r="G269" s="44" t="s">
        <v>770</v>
      </c>
      <c r="H269" s="26" t="s">
        <v>57</v>
      </c>
      <c r="I269" s="44" t="s">
        <v>770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3">
        <v>46196</v>
      </c>
      <c r="O269" s="26" t="s">
        <v>55</v>
      </c>
      <c r="P269" s="44" t="s">
        <v>770</v>
      </c>
      <c r="Q269" s="26" t="s">
        <v>57</v>
      </c>
      <c r="R269" s="44" t="s">
        <v>770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5148</v>
      </c>
      <c r="C270" s="41" t="s">
        <v>5149</v>
      </c>
      <c r="D270" s="39" t="s">
        <v>4618</v>
      </c>
      <c r="E270" s="43">
        <v>46125</v>
      </c>
      <c r="F270" s="26" t="s">
        <v>55</v>
      </c>
      <c r="G270" s="44" t="s">
        <v>770</v>
      </c>
      <c r="H270" s="26" t="s">
        <v>57</v>
      </c>
      <c r="I270" s="44" t="s">
        <v>770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3">
        <v>46196</v>
      </c>
      <c r="O270" s="26" t="s">
        <v>55</v>
      </c>
      <c r="P270" s="44" t="s">
        <v>770</v>
      </c>
      <c r="Q270" s="26" t="s">
        <v>57</v>
      </c>
      <c r="R270" s="44" t="s">
        <v>770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5150</v>
      </c>
      <c r="C271" s="25" t="s">
        <v>5151</v>
      </c>
      <c r="D271" s="23" t="s">
        <v>4618</v>
      </c>
      <c r="E271" s="43">
        <v>46125</v>
      </c>
      <c r="F271" s="26" t="s">
        <v>55</v>
      </c>
      <c r="G271" s="44" t="s">
        <v>770</v>
      </c>
      <c r="H271" s="26" t="s">
        <v>57</v>
      </c>
      <c r="I271" s="44" t="s">
        <v>770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3">
        <v>46196</v>
      </c>
      <c r="O271" s="26" t="s">
        <v>55</v>
      </c>
      <c r="P271" s="44" t="s">
        <v>770</v>
      </c>
      <c r="Q271" s="26" t="s">
        <v>57</v>
      </c>
      <c r="R271" s="44" t="s">
        <v>770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5152</v>
      </c>
      <c r="C272" s="41" t="s">
        <v>5153</v>
      </c>
      <c r="D272" s="39" t="s">
        <v>4618</v>
      </c>
      <c r="E272" s="43">
        <v>46125</v>
      </c>
      <c r="F272" s="26" t="s">
        <v>55</v>
      </c>
      <c r="G272" s="44" t="s">
        <v>770</v>
      </c>
      <c r="H272" s="26" t="s">
        <v>57</v>
      </c>
      <c r="I272" s="44" t="s">
        <v>770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3">
        <v>46196</v>
      </c>
      <c r="O272" s="26" t="s">
        <v>55</v>
      </c>
      <c r="P272" s="44" t="s">
        <v>770</v>
      </c>
      <c r="Q272" s="26" t="s">
        <v>57</v>
      </c>
      <c r="R272" s="44" t="s">
        <v>770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5154</v>
      </c>
      <c r="C273" s="25" t="s">
        <v>5155</v>
      </c>
      <c r="D273" s="23" t="s">
        <v>4618</v>
      </c>
      <c r="E273" s="43">
        <v>46125</v>
      </c>
      <c r="F273" s="26" t="s">
        <v>55</v>
      </c>
      <c r="G273" s="44" t="s">
        <v>770</v>
      </c>
      <c r="H273" s="26" t="s">
        <v>57</v>
      </c>
      <c r="I273" s="44" t="s">
        <v>770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3">
        <v>46196</v>
      </c>
      <c r="O273" s="26" t="s">
        <v>55</v>
      </c>
      <c r="P273" s="44" t="s">
        <v>770</v>
      </c>
      <c r="Q273" s="26" t="s">
        <v>57</v>
      </c>
      <c r="R273" s="44" t="s">
        <v>770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5156</v>
      </c>
      <c r="C274" s="41" t="s">
        <v>5157</v>
      </c>
      <c r="D274" s="39" t="s">
        <v>4618</v>
      </c>
      <c r="E274" s="43">
        <v>46125</v>
      </c>
      <c r="F274" s="26" t="s">
        <v>55</v>
      </c>
      <c r="G274" s="44" t="s">
        <v>770</v>
      </c>
      <c r="H274" s="26" t="s">
        <v>57</v>
      </c>
      <c r="I274" s="44" t="s">
        <v>770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3">
        <v>46196</v>
      </c>
      <c r="O274" s="26" t="s">
        <v>55</v>
      </c>
      <c r="P274" s="44" t="s">
        <v>770</v>
      </c>
      <c r="Q274" s="26" t="s">
        <v>57</v>
      </c>
      <c r="R274" s="44" t="s">
        <v>770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5158</v>
      </c>
      <c r="C275" s="25" t="s">
        <v>5159</v>
      </c>
      <c r="D275" s="23" t="s">
        <v>4618</v>
      </c>
      <c r="E275" s="43">
        <v>46125</v>
      </c>
      <c r="F275" s="26" t="s">
        <v>55</v>
      </c>
      <c r="G275" s="44" t="s">
        <v>770</v>
      </c>
      <c r="H275" s="26" t="s">
        <v>57</v>
      </c>
      <c r="I275" s="44" t="s">
        <v>770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3">
        <v>46196</v>
      </c>
      <c r="O275" s="26" t="s">
        <v>55</v>
      </c>
      <c r="P275" s="44" t="s">
        <v>770</v>
      </c>
      <c r="Q275" s="26" t="s">
        <v>57</v>
      </c>
      <c r="R275" s="44" t="s">
        <v>770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5160</v>
      </c>
      <c r="C276" s="41" t="s">
        <v>5161</v>
      </c>
      <c r="D276" s="39" t="s">
        <v>4618</v>
      </c>
      <c r="E276" s="43">
        <v>46125</v>
      </c>
      <c r="F276" s="26" t="s">
        <v>55</v>
      </c>
      <c r="G276" s="44" t="s">
        <v>56</v>
      </c>
      <c r="H276" s="26" t="s">
        <v>57</v>
      </c>
      <c r="I276" s="44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3">
        <v>46196</v>
      </c>
      <c r="O276" s="26" t="s">
        <v>55</v>
      </c>
      <c r="P276" s="44" t="s">
        <v>56</v>
      </c>
      <c r="Q276" s="26" t="s">
        <v>57</v>
      </c>
      <c r="R276" s="44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5162</v>
      </c>
      <c r="C277" s="25" t="s">
        <v>5163</v>
      </c>
      <c r="D277" s="23" t="s">
        <v>4618</v>
      </c>
      <c r="E277" s="43">
        <v>46125</v>
      </c>
      <c r="F277" s="26" t="s">
        <v>55</v>
      </c>
      <c r="G277" s="44" t="s">
        <v>770</v>
      </c>
      <c r="H277" s="26" t="s">
        <v>57</v>
      </c>
      <c r="I277" s="44" t="s">
        <v>770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3">
        <v>46196</v>
      </c>
      <c r="O277" s="26" t="s">
        <v>55</v>
      </c>
      <c r="P277" s="44" t="s">
        <v>770</v>
      </c>
      <c r="Q277" s="26" t="s">
        <v>57</v>
      </c>
      <c r="R277" s="44" t="s">
        <v>770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5164</v>
      </c>
      <c r="C278" s="41" t="s">
        <v>5165</v>
      </c>
      <c r="D278" s="39" t="s">
        <v>4618</v>
      </c>
      <c r="E278" s="43">
        <v>46125</v>
      </c>
      <c r="F278" s="26" t="s">
        <v>55</v>
      </c>
      <c r="G278" s="44" t="s">
        <v>770</v>
      </c>
      <c r="H278" s="26" t="s">
        <v>57</v>
      </c>
      <c r="I278" s="44" t="s">
        <v>770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3">
        <v>46196</v>
      </c>
      <c r="O278" s="26" t="s">
        <v>55</v>
      </c>
      <c r="P278" s="44" t="s">
        <v>770</v>
      </c>
      <c r="Q278" s="26" t="s">
        <v>57</v>
      </c>
      <c r="R278" s="44" t="s">
        <v>770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5166</v>
      </c>
      <c r="C279" s="25" t="s">
        <v>5167</v>
      </c>
      <c r="D279" s="23" t="s">
        <v>4618</v>
      </c>
      <c r="E279" s="43">
        <v>46125</v>
      </c>
      <c r="F279" s="26" t="s">
        <v>55</v>
      </c>
      <c r="G279" s="44" t="s">
        <v>770</v>
      </c>
      <c r="H279" s="26" t="s">
        <v>57</v>
      </c>
      <c r="I279" s="44" t="s">
        <v>770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3">
        <v>46196</v>
      </c>
      <c r="O279" s="26" t="s">
        <v>55</v>
      </c>
      <c r="P279" s="44" t="s">
        <v>770</v>
      </c>
      <c r="Q279" s="26" t="s">
        <v>57</v>
      </c>
      <c r="R279" s="44" t="s">
        <v>770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5168</v>
      </c>
      <c r="C280" s="41" t="s">
        <v>5169</v>
      </c>
      <c r="D280" s="39" t="s">
        <v>4618</v>
      </c>
      <c r="E280" s="43">
        <v>46125</v>
      </c>
      <c r="F280" s="26" t="s">
        <v>55</v>
      </c>
      <c r="G280" s="44" t="s">
        <v>56</v>
      </c>
      <c r="H280" s="26" t="s">
        <v>57</v>
      </c>
      <c r="I280" s="44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3">
        <v>46196</v>
      </c>
      <c r="O280" s="26" t="s">
        <v>55</v>
      </c>
      <c r="P280" s="44" t="s">
        <v>56</v>
      </c>
      <c r="Q280" s="26" t="s">
        <v>57</v>
      </c>
      <c r="R280" s="44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5170</v>
      </c>
      <c r="C281" s="25" t="s">
        <v>5171</v>
      </c>
      <c r="D281" s="23" t="s">
        <v>4618</v>
      </c>
      <c r="E281" s="43">
        <v>46125</v>
      </c>
      <c r="F281" s="26" t="s">
        <v>55</v>
      </c>
      <c r="G281" s="44" t="s">
        <v>770</v>
      </c>
      <c r="H281" s="26" t="s">
        <v>57</v>
      </c>
      <c r="I281" s="44" t="s">
        <v>770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3">
        <v>46196</v>
      </c>
      <c r="O281" s="26" t="s">
        <v>55</v>
      </c>
      <c r="P281" s="44" t="s">
        <v>770</v>
      </c>
      <c r="Q281" s="26" t="s">
        <v>57</v>
      </c>
      <c r="R281" s="44" t="s">
        <v>770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5172</v>
      </c>
      <c r="C282" s="41" t="s">
        <v>5173</v>
      </c>
      <c r="D282" s="39" t="s">
        <v>4618</v>
      </c>
      <c r="E282" s="43">
        <v>46125</v>
      </c>
      <c r="F282" s="26" t="s">
        <v>55</v>
      </c>
      <c r="G282" s="44" t="s">
        <v>770</v>
      </c>
      <c r="H282" s="26" t="s">
        <v>57</v>
      </c>
      <c r="I282" s="44" t="s">
        <v>770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3">
        <v>46196</v>
      </c>
      <c r="O282" s="26" t="s">
        <v>55</v>
      </c>
      <c r="P282" s="44" t="s">
        <v>770</v>
      </c>
      <c r="Q282" s="26" t="s">
        <v>57</v>
      </c>
      <c r="R282" s="44" t="s">
        <v>770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5174</v>
      </c>
      <c r="C283" s="25" t="s">
        <v>5175</v>
      </c>
      <c r="D283" s="23" t="s">
        <v>4618</v>
      </c>
      <c r="E283" s="43">
        <v>46125</v>
      </c>
      <c r="F283" s="26" t="s">
        <v>55</v>
      </c>
      <c r="G283" s="44" t="s">
        <v>770</v>
      </c>
      <c r="H283" s="26" t="s">
        <v>57</v>
      </c>
      <c r="I283" s="44" t="s">
        <v>770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3">
        <v>46196</v>
      </c>
      <c r="O283" s="26" t="s">
        <v>55</v>
      </c>
      <c r="P283" s="44" t="s">
        <v>770</v>
      </c>
      <c r="Q283" s="26" t="s">
        <v>57</v>
      </c>
      <c r="R283" s="44" t="s">
        <v>770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5176</v>
      </c>
      <c r="C284" s="41" t="s">
        <v>5177</v>
      </c>
      <c r="D284" s="39" t="s">
        <v>4618</v>
      </c>
      <c r="E284" s="43">
        <v>46125</v>
      </c>
      <c r="F284" s="26" t="s">
        <v>55</v>
      </c>
      <c r="G284" s="44" t="s">
        <v>770</v>
      </c>
      <c r="H284" s="26" t="s">
        <v>57</v>
      </c>
      <c r="I284" s="44" t="s">
        <v>770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3">
        <v>46196</v>
      </c>
      <c r="O284" s="26" t="s">
        <v>55</v>
      </c>
      <c r="P284" s="44" t="s">
        <v>770</v>
      </c>
      <c r="Q284" s="26" t="s">
        <v>57</v>
      </c>
      <c r="R284" s="44" t="s">
        <v>770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5178</v>
      </c>
      <c r="C285" s="25" t="s">
        <v>5179</v>
      </c>
      <c r="D285" s="23" t="s">
        <v>4618</v>
      </c>
      <c r="E285" s="43">
        <v>46125</v>
      </c>
      <c r="F285" s="26" t="s">
        <v>55</v>
      </c>
      <c r="G285" s="44" t="s">
        <v>770</v>
      </c>
      <c r="H285" s="26" t="s">
        <v>57</v>
      </c>
      <c r="I285" s="44" t="s">
        <v>770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3">
        <v>46196</v>
      </c>
      <c r="O285" s="26" t="s">
        <v>55</v>
      </c>
      <c r="P285" s="44" t="s">
        <v>770</v>
      </c>
      <c r="Q285" s="26" t="s">
        <v>57</v>
      </c>
      <c r="R285" s="44" t="s">
        <v>770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5180</v>
      </c>
      <c r="C286" s="41" t="s">
        <v>5181</v>
      </c>
      <c r="D286" s="39" t="s">
        <v>4618</v>
      </c>
      <c r="E286" s="43">
        <v>46125</v>
      </c>
      <c r="F286" s="26" t="s">
        <v>55</v>
      </c>
      <c r="G286" s="44" t="s">
        <v>56</v>
      </c>
      <c r="H286" s="26" t="s">
        <v>57</v>
      </c>
      <c r="I286" s="44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3">
        <v>46196</v>
      </c>
      <c r="O286" s="26" t="s">
        <v>55</v>
      </c>
      <c r="P286" s="44" t="s">
        <v>56</v>
      </c>
      <c r="Q286" s="26" t="s">
        <v>57</v>
      </c>
      <c r="R286" s="44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5182</v>
      </c>
      <c r="C287" s="25" t="s">
        <v>5183</v>
      </c>
      <c r="D287" s="23" t="s">
        <v>4618</v>
      </c>
      <c r="E287" s="43">
        <v>46125</v>
      </c>
      <c r="F287" s="26" t="s">
        <v>55</v>
      </c>
      <c r="G287" s="44" t="s">
        <v>770</v>
      </c>
      <c r="H287" s="26" t="s">
        <v>57</v>
      </c>
      <c r="I287" s="44" t="s">
        <v>770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3">
        <v>46196</v>
      </c>
      <c r="O287" s="26" t="s">
        <v>55</v>
      </c>
      <c r="P287" s="44" t="s">
        <v>770</v>
      </c>
      <c r="Q287" s="26" t="s">
        <v>57</v>
      </c>
      <c r="R287" s="44" t="s">
        <v>770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5184</v>
      </c>
      <c r="C288" s="41" t="s">
        <v>5185</v>
      </c>
      <c r="D288" s="39" t="s">
        <v>4618</v>
      </c>
      <c r="E288" s="43">
        <v>46125</v>
      </c>
      <c r="F288" s="26" t="s">
        <v>55</v>
      </c>
      <c r="G288" s="44" t="s">
        <v>770</v>
      </c>
      <c r="H288" s="26" t="s">
        <v>57</v>
      </c>
      <c r="I288" s="44" t="s">
        <v>770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3">
        <v>46196</v>
      </c>
      <c r="O288" s="26" t="s">
        <v>55</v>
      </c>
      <c r="P288" s="44" t="s">
        <v>770</v>
      </c>
      <c r="Q288" s="26" t="s">
        <v>57</v>
      </c>
      <c r="R288" s="44" t="s">
        <v>770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5186</v>
      </c>
      <c r="C289" s="25" t="s">
        <v>5187</v>
      </c>
      <c r="D289" s="23" t="s">
        <v>4618</v>
      </c>
      <c r="E289" s="43">
        <v>46125</v>
      </c>
      <c r="F289" s="26" t="s">
        <v>55</v>
      </c>
      <c r="G289" s="44" t="s">
        <v>56</v>
      </c>
      <c r="H289" s="26" t="s">
        <v>57</v>
      </c>
      <c r="I289" s="44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3">
        <v>46196</v>
      </c>
      <c r="O289" s="26" t="s">
        <v>55</v>
      </c>
      <c r="P289" s="44" t="s">
        <v>56</v>
      </c>
      <c r="Q289" s="26" t="s">
        <v>57</v>
      </c>
      <c r="R289" s="44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5188</v>
      </c>
      <c r="C290" s="41" t="s">
        <v>5189</v>
      </c>
      <c r="D290" s="39" t="s">
        <v>4618</v>
      </c>
      <c r="E290" s="43">
        <v>46125</v>
      </c>
      <c r="F290" s="26" t="s">
        <v>55</v>
      </c>
      <c r="G290" s="44" t="s">
        <v>770</v>
      </c>
      <c r="H290" s="26" t="s">
        <v>57</v>
      </c>
      <c r="I290" s="44" t="s">
        <v>770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3">
        <v>46196</v>
      </c>
      <c r="O290" s="26" t="s">
        <v>55</v>
      </c>
      <c r="P290" s="44" t="s">
        <v>770</v>
      </c>
      <c r="Q290" s="26" t="s">
        <v>57</v>
      </c>
      <c r="R290" s="44" t="s">
        <v>770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5190</v>
      </c>
      <c r="C291" s="25" t="s">
        <v>5191</v>
      </c>
      <c r="D291" s="23" t="s">
        <v>4618</v>
      </c>
      <c r="E291" s="43">
        <v>46125</v>
      </c>
      <c r="F291" s="26" t="s">
        <v>55</v>
      </c>
      <c r="G291" s="44" t="s">
        <v>770</v>
      </c>
      <c r="H291" s="26" t="s">
        <v>57</v>
      </c>
      <c r="I291" s="44" t="s">
        <v>770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3">
        <v>46196</v>
      </c>
      <c r="O291" s="26" t="s">
        <v>55</v>
      </c>
      <c r="P291" s="44" t="s">
        <v>770</v>
      </c>
      <c r="Q291" s="26" t="s">
        <v>57</v>
      </c>
      <c r="R291" s="44" t="s">
        <v>770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5192</v>
      </c>
      <c r="C292" s="41" t="s">
        <v>5193</v>
      </c>
      <c r="D292" s="39" t="s">
        <v>4618</v>
      </c>
      <c r="E292" s="43">
        <v>46125</v>
      </c>
      <c r="F292" s="26" t="s">
        <v>55</v>
      </c>
      <c r="G292" s="44" t="s">
        <v>770</v>
      </c>
      <c r="H292" s="26" t="s">
        <v>57</v>
      </c>
      <c r="I292" s="44" t="s">
        <v>770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3">
        <v>46196</v>
      </c>
      <c r="O292" s="26" t="s">
        <v>55</v>
      </c>
      <c r="P292" s="44" t="s">
        <v>770</v>
      </c>
      <c r="Q292" s="26" t="s">
        <v>57</v>
      </c>
      <c r="R292" s="44" t="s">
        <v>770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5194</v>
      </c>
      <c r="C293" s="25" t="s">
        <v>5195</v>
      </c>
      <c r="D293" s="23" t="s">
        <v>4618</v>
      </c>
      <c r="E293" s="43">
        <v>46125</v>
      </c>
      <c r="F293" s="26" t="s">
        <v>55</v>
      </c>
      <c r="G293" s="44" t="s">
        <v>770</v>
      </c>
      <c r="H293" s="26" t="s">
        <v>57</v>
      </c>
      <c r="I293" s="44" t="s">
        <v>770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43">
        <v>46196</v>
      </c>
      <c r="O293" s="26" t="s">
        <v>55</v>
      </c>
      <c r="P293" s="44" t="s">
        <v>770</v>
      </c>
      <c r="Q293" s="26" t="s">
        <v>57</v>
      </c>
      <c r="R293" s="44" t="s">
        <v>770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5196</v>
      </c>
      <c r="C294" s="41" t="s">
        <v>5197</v>
      </c>
      <c r="D294" s="39" t="s">
        <v>4618</v>
      </c>
      <c r="E294" s="43">
        <v>46125</v>
      </c>
      <c r="F294" s="26" t="s">
        <v>55</v>
      </c>
      <c r="G294" s="44" t="s">
        <v>56</v>
      </c>
      <c r="H294" s="26" t="s">
        <v>57</v>
      </c>
      <c r="I294" s="44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3">
        <v>46196</v>
      </c>
      <c r="O294" s="26" t="s">
        <v>55</v>
      </c>
      <c r="P294" s="44" t="s">
        <v>56</v>
      </c>
      <c r="Q294" s="26" t="s">
        <v>57</v>
      </c>
      <c r="R294" s="44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5198</v>
      </c>
      <c r="C295" s="25" t="s">
        <v>5199</v>
      </c>
      <c r="D295" s="23" t="s">
        <v>4618</v>
      </c>
      <c r="E295" s="43">
        <v>46125</v>
      </c>
      <c r="F295" s="26" t="s">
        <v>55</v>
      </c>
      <c r="G295" s="44" t="s">
        <v>770</v>
      </c>
      <c r="H295" s="26" t="s">
        <v>57</v>
      </c>
      <c r="I295" s="44" t="s">
        <v>770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43">
        <v>46196</v>
      </c>
      <c r="O295" s="26" t="s">
        <v>55</v>
      </c>
      <c r="P295" s="44" t="s">
        <v>770</v>
      </c>
      <c r="Q295" s="26" t="s">
        <v>57</v>
      </c>
      <c r="R295" s="44" t="s">
        <v>770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5200</v>
      </c>
      <c r="C296" s="41" t="s">
        <v>5201</v>
      </c>
      <c r="D296" s="39" t="s">
        <v>4618</v>
      </c>
      <c r="E296" s="43">
        <v>46125</v>
      </c>
      <c r="F296" s="26" t="s">
        <v>55</v>
      </c>
      <c r="G296" s="44" t="s">
        <v>770</v>
      </c>
      <c r="H296" s="26" t="s">
        <v>57</v>
      </c>
      <c r="I296" s="44" t="s">
        <v>770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43">
        <v>46196</v>
      </c>
      <c r="O296" s="26" t="s">
        <v>55</v>
      </c>
      <c r="P296" s="44" t="s">
        <v>770</v>
      </c>
      <c r="Q296" s="26" t="s">
        <v>57</v>
      </c>
      <c r="R296" s="44" t="s">
        <v>770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5202</v>
      </c>
      <c r="C297" s="25" t="s">
        <v>5203</v>
      </c>
      <c r="D297" s="23" t="s">
        <v>4618</v>
      </c>
      <c r="E297" s="43">
        <v>46125</v>
      </c>
      <c r="F297" s="26" t="s">
        <v>55</v>
      </c>
      <c r="G297" s="44" t="s">
        <v>770</v>
      </c>
      <c r="H297" s="26" t="s">
        <v>57</v>
      </c>
      <c r="I297" s="44" t="s">
        <v>770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43">
        <v>46196</v>
      </c>
      <c r="O297" s="26" t="s">
        <v>55</v>
      </c>
      <c r="P297" s="44" t="s">
        <v>770</v>
      </c>
      <c r="Q297" s="26" t="s">
        <v>57</v>
      </c>
      <c r="R297" s="44" t="s">
        <v>770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5204</v>
      </c>
      <c r="C298" s="41" t="s">
        <v>5205</v>
      </c>
      <c r="D298" s="39" t="s">
        <v>4618</v>
      </c>
      <c r="E298" s="43">
        <v>46125</v>
      </c>
      <c r="F298" s="26" t="s">
        <v>55</v>
      </c>
      <c r="G298" s="44" t="s">
        <v>770</v>
      </c>
      <c r="H298" s="26" t="s">
        <v>57</v>
      </c>
      <c r="I298" s="44" t="s">
        <v>770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43">
        <v>46196</v>
      </c>
      <c r="O298" s="26" t="s">
        <v>55</v>
      </c>
      <c r="P298" s="44" t="s">
        <v>770</v>
      </c>
      <c r="Q298" s="26" t="s">
        <v>57</v>
      </c>
      <c r="R298" s="44" t="s">
        <v>770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5206</v>
      </c>
      <c r="C299" s="25" t="s">
        <v>5207</v>
      </c>
      <c r="D299" s="23" t="s">
        <v>4618</v>
      </c>
      <c r="E299" s="43">
        <v>46125</v>
      </c>
      <c r="F299" s="26" t="s">
        <v>55</v>
      </c>
      <c r="G299" s="44" t="s">
        <v>770</v>
      </c>
      <c r="H299" s="26" t="s">
        <v>57</v>
      </c>
      <c r="I299" s="44" t="s">
        <v>770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43">
        <v>46196</v>
      </c>
      <c r="O299" s="26" t="s">
        <v>55</v>
      </c>
      <c r="P299" s="44" t="s">
        <v>770</v>
      </c>
      <c r="Q299" s="26" t="s">
        <v>57</v>
      </c>
      <c r="R299" s="44" t="s">
        <v>770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5208</v>
      </c>
      <c r="C300" s="41" t="s">
        <v>5209</v>
      </c>
      <c r="D300" s="39" t="s">
        <v>4618</v>
      </c>
      <c r="E300" s="43">
        <v>46125</v>
      </c>
      <c r="F300" s="26" t="s">
        <v>55</v>
      </c>
      <c r="G300" s="44" t="s">
        <v>770</v>
      </c>
      <c r="H300" s="26" t="s">
        <v>57</v>
      </c>
      <c r="I300" s="44" t="s">
        <v>770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43">
        <v>46196</v>
      </c>
      <c r="O300" s="26" t="s">
        <v>55</v>
      </c>
      <c r="P300" s="44" t="s">
        <v>770</v>
      </c>
      <c r="Q300" s="26" t="s">
        <v>57</v>
      </c>
      <c r="R300" s="44" t="s">
        <v>770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5210</v>
      </c>
      <c r="C301" s="25" t="s">
        <v>5211</v>
      </c>
      <c r="D301" s="23" t="s">
        <v>4618</v>
      </c>
      <c r="E301" s="43">
        <v>46125</v>
      </c>
      <c r="F301" s="26" t="s">
        <v>55</v>
      </c>
      <c r="G301" s="44" t="s">
        <v>56</v>
      </c>
      <c r="H301" s="26" t="s">
        <v>57</v>
      </c>
      <c r="I301" s="44" t="s">
        <v>149</v>
      </c>
      <c r="J301" s="26" t="s">
        <v>57</v>
      </c>
      <c r="K301" s="27" t="s">
        <v>5033</v>
      </c>
      <c r="L301" s="28" t="s">
        <v>56</v>
      </c>
      <c r="M301" s="29" t="str">
        <f t="shared" si="20"/>
        <v>⚠ Check</v>
      </c>
      <c r="N301" s="43">
        <v>46196</v>
      </c>
      <c r="O301" s="26" t="s">
        <v>55</v>
      </c>
      <c r="P301" s="44" t="s">
        <v>56</v>
      </c>
      <c r="Q301" s="26" t="s">
        <v>57</v>
      </c>
      <c r="R301" s="44" t="s">
        <v>149</v>
      </c>
      <c r="S301" s="26" t="s">
        <v>57</v>
      </c>
      <c r="T301" s="27" t="s">
        <v>5033</v>
      </c>
      <c r="U301" s="28" t="s">
        <v>56</v>
      </c>
      <c r="V301" s="29" t="str">
        <f t="shared" si="21"/>
        <v>⚠ Check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5212</v>
      </c>
      <c r="C302" s="41" t="s">
        <v>5213</v>
      </c>
      <c r="D302" s="39" t="s">
        <v>4618</v>
      </c>
      <c r="E302" s="43">
        <v>46125</v>
      </c>
      <c r="F302" s="26" t="s">
        <v>55</v>
      </c>
      <c r="G302" s="44" t="s">
        <v>770</v>
      </c>
      <c r="H302" s="26" t="s">
        <v>57</v>
      </c>
      <c r="I302" s="44" t="s">
        <v>770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43">
        <v>46196</v>
      </c>
      <c r="O302" s="26" t="s">
        <v>55</v>
      </c>
      <c r="P302" s="44" t="s">
        <v>770</v>
      </c>
      <c r="Q302" s="26" t="s">
        <v>57</v>
      </c>
      <c r="R302" s="44" t="s">
        <v>770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5214</v>
      </c>
      <c r="C303" s="25" t="s">
        <v>5215</v>
      </c>
      <c r="D303" s="23" t="s">
        <v>4618</v>
      </c>
      <c r="E303" s="43">
        <v>46125</v>
      </c>
      <c r="F303" s="26" t="s">
        <v>55</v>
      </c>
      <c r="G303" s="44" t="s">
        <v>770</v>
      </c>
      <c r="H303" s="26" t="s">
        <v>57</v>
      </c>
      <c r="I303" s="44" t="s">
        <v>770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43">
        <v>46196</v>
      </c>
      <c r="O303" s="26" t="s">
        <v>55</v>
      </c>
      <c r="P303" s="44" t="s">
        <v>770</v>
      </c>
      <c r="Q303" s="26" t="s">
        <v>57</v>
      </c>
      <c r="R303" s="44" t="s">
        <v>770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5216</v>
      </c>
      <c r="C304" s="41" t="s">
        <v>5217</v>
      </c>
      <c r="D304" s="39" t="s">
        <v>4618</v>
      </c>
      <c r="E304" s="43">
        <v>46125</v>
      </c>
      <c r="F304" s="26" t="s">
        <v>55</v>
      </c>
      <c r="G304" s="44" t="s">
        <v>770</v>
      </c>
      <c r="H304" s="26" t="s">
        <v>57</v>
      </c>
      <c r="I304" s="44" t="s">
        <v>770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43">
        <v>46196</v>
      </c>
      <c r="O304" s="26" t="s">
        <v>55</v>
      </c>
      <c r="P304" s="44" t="s">
        <v>770</v>
      </c>
      <c r="Q304" s="26" t="s">
        <v>57</v>
      </c>
      <c r="R304" s="44" t="s">
        <v>770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5218</v>
      </c>
      <c r="C305" s="25" t="s">
        <v>5219</v>
      </c>
      <c r="D305" s="23" t="s">
        <v>4618</v>
      </c>
      <c r="E305" s="43">
        <v>46125</v>
      </c>
      <c r="F305" s="26" t="s">
        <v>55</v>
      </c>
      <c r="G305" s="44" t="s">
        <v>56</v>
      </c>
      <c r="H305" s="26" t="s">
        <v>57</v>
      </c>
      <c r="I305" s="44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43">
        <v>46196</v>
      </c>
      <c r="O305" s="26" t="s">
        <v>55</v>
      </c>
      <c r="P305" s="44" t="s">
        <v>56</v>
      </c>
      <c r="Q305" s="26" t="s">
        <v>57</v>
      </c>
      <c r="R305" s="44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5220</v>
      </c>
      <c r="C306" s="41" t="s">
        <v>5221</v>
      </c>
      <c r="D306" s="39" t="s">
        <v>4618</v>
      </c>
      <c r="E306" s="43">
        <v>46125</v>
      </c>
      <c r="F306" s="26" t="s">
        <v>55</v>
      </c>
      <c r="G306" s="44" t="s">
        <v>56</v>
      </c>
      <c r="H306" s="26" t="s">
        <v>57</v>
      </c>
      <c r="I306" s="44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43">
        <v>46196</v>
      </c>
      <c r="O306" s="26" t="s">
        <v>55</v>
      </c>
      <c r="P306" s="44" t="s">
        <v>56</v>
      </c>
      <c r="Q306" s="26" t="s">
        <v>57</v>
      </c>
      <c r="R306" s="44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5222</v>
      </c>
      <c r="C307" s="25" t="s">
        <v>5223</v>
      </c>
      <c r="D307" s="23" t="s">
        <v>4618</v>
      </c>
      <c r="E307" s="43">
        <v>46125</v>
      </c>
      <c r="F307" s="26" t="s">
        <v>55</v>
      </c>
      <c r="G307" s="44" t="s">
        <v>770</v>
      </c>
      <c r="H307" s="26" t="s">
        <v>57</v>
      </c>
      <c r="I307" s="44" t="s">
        <v>770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43">
        <v>46196</v>
      </c>
      <c r="O307" s="26" t="s">
        <v>55</v>
      </c>
      <c r="P307" s="44" t="s">
        <v>770</v>
      </c>
      <c r="Q307" s="26" t="s">
        <v>57</v>
      </c>
      <c r="R307" s="44" t="s">
        <v>770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5224</v>
      </c>
      <c r="C308" s="41" t="s">
        <v>5225</v>
      </c>
      <c r="D308" s="39" t="s">
        <v>4618</v>
      </c>
      <c r="E308" s="43">
        <v>46125</v>
      </c>
      <c r="F308" s="26" t="s">
        <v>55</v>
      </c>
      <c r="G308" s="44" t="s">
        <v>770</v>
      </c>
      <c r="H308" s="26" t="s">
        <v>57</v>
      </c>
      <c r="I308" s="44" t="s">
        <v>770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43">
        <v>46196</v>
      </c>
      <c r="O308" s="26" t="s">
        <v>55</v>
      </c>
      <c r="P308" s="44" t="s">
        <v>770</v>
      </c>
      <c r="Q308" s="26" t="s">
        <v>57</v>
      </c>
      <c r="R308" s="44" t="s">
        <v>770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5226</v>
      </c>
      <c r="C309" s="25" t="s">
        <v>5227</v>
      </c>
      <c r="D309" s="23" t="s">
        <v>4618</v>
      </c>
      <c r="E309" s="43">
        <v>46125</v>
      </c>
      <c r="F309" s="26" t="s">
        <v>55</v>
      </c>
      <c r="G309" s="44" t="s">
        <v>770</v>
      </c>
      <c r="H309" s="26" t="s">
        <v>57</v>
      </c>
      <c r="I309" s="44" t="s">
        <v>770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43">
        <v>46196</v>
      </c>
      <c r="O309" s="26" t="s">
        <v>55</v>
      </c>
      <c r="P309" s="44" t="s">
        <v>770</v>
      </c>
      <c r="Q309" s="26" t="s">
        <v>57</v>
      </c>
      <c r="R309" s="44" t="s">
        <v>770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5228</v>
      </c>
      <c r="C310" s="41" t="s">
        <v>5229</v>
      </c>
      <c r="D310" s="39" t="s">
        <v>4618</v>
      </c>
      <c r="E310" s="43">
        <v>46125</v>
      </c>
      <c r="F310" s="26" t="s">
        <v>55</v>
      </c>
      <c r="G310" s="44" t="s">
        <v>56</v>
      </c>
      <c r="H310" s="26" t="s">
        <v>57</v>
      </c>
      <c r="I310" s="44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43">
        <v>46196</v>
      </c>
      <c r="O310" s="26" t="s">
        <v>55</v>
      </c>
      <c r="P310" s="44" t="s">
        <v>56</v>
      </c>
      <c r="Q310" s="26" t="s">
        <v>57</v>
      </c>
      <c r="R310" s="44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5230</v>
      </c>
      <c r="C311" s="25" t="s">
        <v>5231</v>
      </c>
      <c r="D311" s="23" t="s">
        <v>4618</v>
      </c>
      <c r="E311" s="43">
        <v>46125</v>
      </c>
      <c r="F311" s="26" t="s">
        <v>55</v>
      </c>
      <c r="G311" s="44" t="s">
        <v>770</v>
      </c>
      <c r="H311" s="26" t="s">
        <v>57</v>
      </c>
      <c r="I311" s="44" t="s">
        <v>770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43">
        <v>46196</v>
      </c>
      <c r="O311" s="26" t="s">
        <v>55</v>
      </c>
      <c r="P311" s="44" t="s">
        <v>770</v>
      </c>
      <c r="Q311" s="26" t="s">
        <v>57</v>
      </c>
      <c r="R311" s="44" t="s">
        <v>770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5232</v>
      </c>
      <c r="C312" s="41" t="s">
        <v>5233</v>
      </c>
      <c r="D312" s="39" t="s">
        <v>4618</v>
      </c>
      <c r="E312" s="43">
        <v>46125</v>
      </c>
      <c r="F312" s="26" t="s">
        <v>55</v>
      </c>
      <c r="G312" s="44" t="s">
        <v>770</v>
      </c>
      <c r="H312" s="26" t="s">
        <v>57</v>
      </c>
      <c r="I312" s="44" t="s">
        <v>770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43">
        <v>46196</v>
      </c>
      <c r="O312" s="26" t="s">
        <v>55</v>
      </c>
      <c r="P312" s="44" t="s">
        <v>770</v>
      </c>
      <c r="Q312" s="26" t="s">
        <v>57</v>
      </c>
      <c r="R312" s="44" t="s">
        <v>770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5234</v>
      </c>
      <c r="C313" s="25" t="s">
        <v>5235</v>
      </c>
      <c r="D313" s="23" t="s">
        <v>4618</v>
      </c>
      <c r="E313" s="43">
        <v>46125</v>
      </c>
      <c r="F313" s="26" t="s">
        <v>55</v>
      </c>
      <c r="G313" s="44" t="s">
        <v>56</v>
      </c>
      <c r="H313" s="26" t="s">
        <v>57</v>
      </c>
      <c r="I313" s="44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43">
        <v>46196</v>
      </c>
      <c r="O313" s="26" t="s">
        <v>55</v>
      </c>
      <c r="P313" s="44" t="s">
        <v>56</v>
      </c>
      <c r="Q313" s="26" t="s">
        <v>57</v>
      </c>
      <c r="R313" s="44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5236</v>
      </c>
      <c r="C314" s="41" t="s">
        <v>5237</v>
      </c>
      <c r="D314" s="39" t="s">
        <v>4618</v>
      </c>
      <c r="E314" s="43">
        <v>46125</v>
      </c>
      <c r="F314" s="26" t="s">
        <v>55</v>
      </c>
      <c r="G314" s="44" t="s">
        <v>770</v>
      </c>
      <c r="H314" s="26" t="s">
        <v>57</v>
      </c>
      <c r="I314" s="44" t="s">
        <v>770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43">
        <v>46196</v>
      </c>
      <c r="O314" s="26" t="s">
        <v>55</v>
      </c>
      <c r="P314" s="44" t="s">
        <v>770</v>
      </c>
      <c r="Q314" s="26" t="s">
        <v>57</v>
      </c>
      <c r="R314" s="44" t="s">
        <v>770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5238</v>
      </c>
      <c r="C315" s="25" t="s">
        <v>5239</v>
      </c>
      <c r="D315" s="23" t="s">
        <v>4618</v>
      </c>
      <c r="E315" s="43">
        <v>46125</v>
      </c>
      <c r="F315" s="26" t="s">
        <v>55</v>
      </c>
      <c r="G315" s="44" t="s">
        <v>57</v>
      </c>
      <c r="H315" s="26" t="s">
        <v>57</v>
      </c>
      <c r="I315" s="44" t="s">
        <v>153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43">
        <v>46196</v>
      </c>
      <c r="O315" s="26" t="s">
        <v>55</v>
      </c>
      <c r="P315" s="44" t="s">
        <v>57</v>
      </c>
      <c r="Q315" s="26" t="s">
        <v>57</v>
      </c>
      <c r="R315" s="44" t="s">
        <v>153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5240</v>
      </c>
      <c r="C316" s="41" t="s">
        <v>5241</v>
      </c>
      <c r="D316" s="39" t="s">
        <v>4618</v>
      </c>
      <c r="E316" s="43">
        <v>46125</v>
      </c>
      <c r="F316" s="26" t="s">
        <v>55</v>
      </c>
      <c r="G316" s="44" t="s">
        <v>57</v>
      </c>
      <c r="H316" s="26" t="s">
        <v>57</v>
      </c>
      <c r="I316" s="44" t="s">
        <v>153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43">
        <v>46196</v>
      </c>
      <c r="O316" s="26" t="s">
        <v>55</v>
      </c>
      <c r="P316" s="44" t="s">
        <v>57</v>
      </c>
      <c r="Q316" s="26" t="s">
        <v>57</v>
      </c>
      <c r="R316" s="44" t="s">
        <v>153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5242</v>
      </c>
      <c r="C317" s="25" t="s">
        <v>5243</v>
      </c>
      <c r="D317" s="23" t="s">
        <v>4618</v>
      </c>
      <c r="E317" s="43">
        <v>46125</v>
      </c>
      <c r="F317" s="26" t="s">
        <v>55</v>
      </c>
      <c r="G317" s="44" t="s">
        <v>57</v>
      </c>
      <c r="H317" s="26" t="s">
        <v>57</v>
      </c>
      <c r="I317" s="44" t="s">
        <v>153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43">
        <v>46196</v>
      </c>
      <c r="O317" s="26" t="s">
        <v>55</v>
      </c>
      <c r="P317" s="44" t="s">
        <v>57</v>
      </c>
      <c r="Q317" s="26" t="s">
        <v>57</v>
      </c>
      <c r="R317" s="44" t="s">
        <v>153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5244</v>
      </c>
      <c r="C318" s="41" t="s">
        <v>5245</v>
      </c>
      <c r="D318" s="39" t="s">
        <v>4618</v>
      </c>
      <c r="E318" s="43">
        <v>46125</v>
      </c>
      <c r="F318" s="26" t="s">
        <v>55</v>
      </c>
      <c r="G318" s="44" t="s">
        <v>56</v>
      </c>
      <c r="H318" s="26" t="s">
        <v>57</v>
      </c>
      <c r="I318" s="44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43">
        <v>46196</v>
      </c>
      <c r="O318" s="26" t="s">
        <v>55</v>
      </c>
      <c r="P318" s="44" t="s">
        <v>56</v>
      </c>
      <c r="Q318" s="26" t="s">
        <v>57</v>
      </c>
      <c r="R318" s="44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5246</v>
      </c>
      <c r="C319" s="25" t="s">
        <v>5247</v>
      </c>
      <c r="D319" s="23" t="s">
        <v>4618</v>
      </c>
      <c r="E319" s="43">
        <v>46125</v>
      </c>
      <c r="F319" s="26" t="s">
        <v>55</v>
      </c>
      <c r="G319" s="44" t="s">
        <v>770</v>
      </c>
      <c r="H319" s="26" t="s">
        <v>57</v>
      </c>
      <c r="I319" s="44" t="s">
        <v>770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43">
        <v>46196</v>
      </c>
      <c r="O319" s="26" t="s">
        <v>55</v>
      </c>
      <c r="P319" s="44" t="s">
        <v>770</v>
      </c>
      <c r="Q319" s="26" t="s">
        <v>57</v>
      </c>
      <c r="R319" s="44" t="s">
        <v>770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5248</v>
      </c>
      <c r="C320" s="41" t="s">
        <v>5249</v>
      </c>
      <c r="D320" s="39" t="s">
        <v>4618</v>
      </c>
      <c r="E320" s="43">
        <v>46125</v>
      </c>
      <c r="F320" s="26" t="s">
        <v>55</v>
      </c>
      <c r="G320" s="44" t="s">
        <v>770</v>
      </c>
      <c r="H320" s="26" t="s">
        <v>57</v>
      </c>
      <c r="I320" s="44" t="s">
        <v>770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43">
        <v>46196</v>
      </c>
      <c r="O320" s="26" t="s">
        <v>55</v>
      </c>
      <c r="P320" s="44" t="s">
        <v>770</v>
      </c>
      <c r="Q320" s="26" t="s">
        <v>57</v>
      </c>
      <c r="R320" s="44" t="s">
        <v>770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5250</v>
      </c>
      <c r="C321" s="25" t="s">
        <v>5251</v>
      </c>
      <c r="D321" s="23" t="s">
        <v>4618</v>
      </c>
      <c r="E321" s="43">
        <v>46125</v>
      </c>
      <c r="F321" s="26" t="s">
        <v>55</v>
      </c>
      <c r="G321" s="44" t="s">
        <v>770</v>
      </c>
      <c r="H321" s="26" t="s">
        <v>57</v>
      </c>
      <c r="I321" s="44" t="s">
        <v>770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43">
        <v>46196</v>
      </c>
      <c r="O321" s="26" t="s">
        <v>55</v>
      </c>
      <c r="P321" s="44" t="s">
        <v>770</v>
      </c>
      <c r="Q321" s="26" t="s">
        <v>57</v>
      </c>
      <c r="R321" s="44" t="s">
        <v>770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5252</v>
      </c>
      <c r="C322" s="41" t="s">
        <v>5253</v>
      </c>
      <c r="D322" s="39" t="s">
        <v>4618</v>
      </c>
      <c r="E322" s="43">
        <v>46125</v>
      </c>
      <c r="F322" s="26" t="s">
        <v>55</v>
      </c>
      <c r="G322" s="44" t="s">
        <v>770</v>
      </c>
      <c r="H322" s="26" t="s">
        <v>57</v>
      </c>
      <c r="I322" s="44" t="s">
        <v>770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43">
        <v>46196</v>
      </c>
      <c r="O322" s="26" t="s">
        <v>55</v>
      </c>
      <c r="P322" s="44" t="s">
        <v>770</v>
      </c>
      <c r="Q322" s="26" t="s">
        <v>57</v>
      </c>
      <c r="R322" s="44" t="s">
        <v>770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5254</v>
      </c>
      <c r="C323" s="25" t="s">
        <v>5255</v>
      </c>
      <c r="D323" s="23" t="s">
        <v>4618</v>
      </c>
      <c r="E323" s="43">
        <v>46125</v>
      </c>
      <c r="F323" s="26" t="s">
        <v>55</v>
      </c>
      <c r="G323" s="44" t="s">
        <v>770</v>
      </c>
      <c r="H323" s="26" t="s">
        <v>57</v>
      </c>
      <c r="I323" s="44" t="s">
        <v>770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43">
        <v>46196</v>
      </c>
      <c r="O323" s="26" t="s">
        <v>55</v>
      </c>
      <c r="P323" s="44" t="s">
        <v>770</v>
      </c>
      <c r="Q323" s="26" t="s">
        <v>57</v>
      </c>
      <c r="R323" s="44" t="s">
        <v>770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5256</v>
      </c>
      <c r="C324" s="41" t="s">
        <v>5257</v>
      </c>
      <c r="D324" s="39" t="s">
        <v>4618</v>
      </c>
      <c r="E324" s="43">
        <v>46125</v>
      </c>
      <c r="F324" s="26" t="s">
        <v>55</v>
      </c>
      <c r="G324" s="44" t="s">
        <v>56</v>
      </c>
      <c r="H324" s="26" t="s">
        <v>57</v>
      </c>
      <c r="I324" s="44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43">
        <v>46196</v>
      </c>
      <c r="O324" s="26" t="s">
        <v>55</v>
      </c>
      <c r="P324" s="44" t="s">
        <v>56</v>
      </c>
      <c r="Q324" s="26" t="s">
        <v>57</v>
      </c>
      <c r="R324" s="44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5258</v>
      </c>
      <c r="C325" s="25" t="s">
        <v>5259</v>
      </c>
      <c r="D325" s="23" t="s">
        <v>4618</v>
      </c>
      <c r="E325" s="43">
        <v>46125</v>
      </c>
      <c r="F325" s="26" t="s">
        <v>55</v>
      </c>
      <c r="G325" s="44" t="s">
        <v>770</v>
      </c>
      <c r="H325" s="26" t="s">
        <v>57</v>
      </c>
      <c r="I325" s="44" t="s">
        <v>770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43">
        <v>46196</v>
      </c>
      <c r="O325" s="26" t="s">
        <v>55</v>
      </c>
      <c r="P325" s="44" t="s">
        <v>770</v>
      </c>
      <c r="Q325" s="26" t="s">
        <v>57</v>
      </c>
      <c r="R325" s="44" t="s">
        <v>770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5260</v>
      </c>
      <c r="C326" s="41" t="s">
        <v>5261</v>
      </c>
      <c r="D326" s="39" t="s">
        <v>4618</v>
      </c>
      <c r="E326" s="43">
        <v>46125</v>
      </c>
      <c r="F326" s="26" t="s">
        <v>55</v>
      </c>
      <c r="G326" s="44" t="s">
        <v>770</v>
      </c>
      <c r="H326" s="26" t="s">
        <v>57</v>
      </c>
      <c r="I326" s="44" t="s">
        <v>770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43">
        <v>46196</v>
      </c>
      <c r="O326" s="26" t="s">
        <v>55</v>
      </c>
      <c r="P326" s="44" t="s">
        <v>770</v>
      </c>
      <c r="Q326" s="26" t="s">
        <v>57</v>
      </c>
      <c r="R326" s="44" t="s">
        <v>770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5262</v>
      </c>
      <c r="C327" s="25" t="s">
        <v>5263</v>
      </c>
      <c r="D327" s="23" t="s">
        <v>4618</v>
      </c>
      <c r="E327" s="43">
        <v>46125</v>
      </c>
      <c r="F327" s="26" t="s">
        <v>55</v>
      </c>
      <c r="G327" s="44" t="s">
        <v>770</v>
      </c>
      <c r="H327" s="26" t="s">
        <v>57</v>
      </c>
      <c r="I327" s="44" t="s">
        <v>770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43">
        <v>46196</v>
      </c>
      <c r="O327" s="26" t="s">
        <v>55</v>
      </c>
      <c r="P327" s="44" t="s">
        <v>770</v>
      </c>
      <c r="Q327" s="26" t="s">
        <v>57</v>
      </c>
      <c r="R327" s="44" t="s">
        <v>770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5264</v>
      </c>
      <c r="C328" s="41" t="s">
        <v>5265</v>
      </c>
      <c r="D328" s="39" t="s">
        <v>4618</v>
      </c>
      <c r="E328" s="43">
        <v>46125</v>
      </c>
      <c r="F328" s="26" t="s">
        <v>55</v>
      </c>
      <c r="G328" s="44" t="s">
        <v>770</v>
      </c>
      <c r="H328" s="26" t="s">
        <v>57</v>
      </c>
      <c r="I328" s="44" t="s">
        <v>770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43">
        <v>46196</v>
      </c>
      <c r="O328" s="26" t="s">
        <v>55</v>
      </c>
      <c r="P328" s="44" t="s">
        <v>770</v>
      </c>
      <c r="Q328" s="26" t="s">
        <v>57</v>
      </c>
      <c r="R328" s="44" t="s">
        <v>770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5266</v>
      </c>
      <c r="C329" s="25" t="s">
        <v>5267</v>
      </c>
      <c r="D329" s="23" t="s">
        <v>4618</v>
      </c>
      <c r="E329" s="43">
        <v>46125</v>
      </c>
      <c r="F329" s="26" t="s">
        <v>55</v>
      </c>
      <c r="G329" s="44" t="s">
        <v>56</v>
      </c>
      <c r="H329" s="26" t="s">
        <v>57</v>
      </c>
      <c r="I329" s="44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43">
        <v>46196</v>
      </c>
      <c r="O329" s="26" t="s">
        <v>55</v>
      </c>
      <c r="P329" s="44" t="s">
        <v>56</v>
      </c>
      <c r="Q329" s="26" t="s">
        <v>57</v>
      </c>
      <c r="R329" s="44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5268</v>
      </c>
      <c r="C330" s="41" t="s">
        <v>5269</v>
      </c>
      <c r="D330" s="39" t="s">
        <v>4618</v>
      </c>
      <c r="E330" s="43">
        <v>46125</v>
      </c>
      <c r="F330" s="26" t="s">
        <v>55</v>
      </c>
      <c r="G330" s="44" t="s">
        <v>770</v>
      </c>
      <c r="H330" s="26" t="s">
        <v>57</v>
      </c>
      <c r="I330" s="44" t="s">
        <v>770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43">
        <v>46196</v>
      </c>
      <c r="O330" s="26" t="s">
        <v>55</v>
      </c>
      <c r="P330" s="44" t="s">
        <v>770</v>
      </c>
      <c r="Q330" s="26" t="s">
        <v>57</v>
      </c>
      <c r="R330" s="44" t="s">
        <v>770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5270</v>
      </c>
      <c r="C331" s="25" t="s">
        <v>5271</v>
      </c>
      <c r="D331" s="23" t="s">
        <v>4618</v>
      </c>
      <c r="E331" s="43">
        <v>46125</v>
      </c>
      <c r="F331" s="26" t="s">
        <v>55</v>
      </c>
      <c r="G331" s="44" t="s">
        <v>770</v>
      </c>
      <c r="H331" s="26" t="s">
        <v>57</v>
      </c>
      <c r="I331" s="44" t="s">
        <v>770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43">
        <v>46196</v>
      </c>
      <c r="O331" s="26" t="s">
        <v>55</v>
      </c>
      <c r="P331" s="44" t="s">
        <v>770</v>
      </c>
      <c r="Q331" s="26" t="s">
        <v>57</v>
      </c>
      <c r="R331" s="44" t="s">
        <v>770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5272</v>
      </c>
      <c r="C332" s="41" t="s">
        <v>5273</v>
      </c>
      <c r="D332" s="39" t="s">
        <v>4618</v>
      </c>
      <c r="E332" s="43">
        <v>46125</v>
      </c>
      <c r="F332" s="26" t="s">
        <v>55</v>
      </c>
      <c r="G332" s="44" t="s">
        <v>56</v>
      </c>
      <c r="H332" s="26" t="s">
        <v>57</v>
      </c>
      <c r="I332" s="44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43">
        <v>46196</v>
      </c>
      <c r="O332" s="26" t="s">
        <v>55</v>
      </c>
      <c r="P332" s="44" t="s">
        <v>56</v>
      </c>
      <c r="Q332" s="26" t="s">
        <v>57</v>
      </c>
      <c r="R332" s="44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5274</v>
      </c>
      <c r="C333" s="25" t="s">
        <v>5275</v>
      </c>
      <c r="D333" s="23" t="s">
        <v>4618</v>
      </c>
      <c r="E333" s="43">
        <v>46125</v>
      </c>
      <c r="F333" s="26" t="s">
        <v>55</v>
      </c>
      <c r="G333" s="44" t="s">
        <v>770</v>
      </c>
      <c r="H333" s="26" t="s">
        <v>57</v>
      </c>
      <c r="I333" s="44" t="s">
        <v>770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43">
        <v>46196</v>
      </c>
      <c r="O333" s="26" t="s">
        <v>55</v>
      </c>
      <c r="P333" s="44" t="s">
        <v>770</v>
      </c>
      <c r="Q333" s="26" t="s">
        <v>57</v>
      </c>
      <c r="R333" s="44" t="s">
        <v>770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5276</v>
      </c>
      <c r="C334" s="41" t="s">
        <v>5277</v>
      </c>
      <c r="D334" s="39" t="s">
        <v>4618</v>
      </c>
      <c r="E334" s="43">
        <v>46125</v>
      </c>
      <c r="F334" s="26" t="s">
        <v>55</v>
      </c>
      <c r="G334" s="44" t="s">
        <v>770</v>
      </c>
      <c r="H334" s="26" t="s">
        <v>57</v>
      </c>
      <c r="I334" s="44" t="s">
        <v>770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43">
        <v>46196</v>
      </c>
      <c r="O334" s="26" t="s">
        <v>55</v>
      </c>
      <c r="P334" s="44" t="s">
        <v>770</v>
      </c>
      <c r="Q334" s="26" t="s">
        <v>57</v>
      </c>
      <c r="R334" s="44" t="s">
        <v>770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5278</v>
      </c>
      <c r="C335" s="25" t="s">
        <v>5279</v>
      </c>
      <c r="D335" s="23" t="s">
        <v>4618</v>
      </c>
      <c r="E335" s="43">
        <v>46125</v>
      </c>
      <c r="F335" s="26" t="s">
        <v>55</v>
      </c>
      <c r="G335" s="44" t="s">
        <v>770</v>
      </c>
      <c r="H335" s="26" t="s">
        <v>57</v>
      </c>
      <c r="I335" s="44" t="s">
        <v>770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43">
        <v>46196</v>
      </c>
      <c r="O335" s="26" t="s">
        <v>55</v>
      </c>
      <c r="P335" s="44" t="s">
        <v>770</v>
      </c>
      <c r="Q335" s="26" t="s">
        <v>57</v>
      </c>
      <c r="R335" s="44" t="s">
        <v>770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5280</v>
      </c>
      <c r="C336" s="41" t="s">
        <v>5281</v>
      </c>
      <c r="D336" s="39" t="s">
        <v>4618</v>
      </c>
      <c r="E336" s="43">
        <v>46125</v>
      </c>
      <c r="F336" s="26" t="s">
        <v>55</v>
      </c>
      <c r="G336" s="44" t="s">
        <v>770</v>
      </c>
      <c r="H336" s="26" t="s">
        <v>57</v>
      </c>
      <c r="I336" s="44" t="s">
        <v>770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43">
        <v>46196</v>
      </c>
      <c r="O336" s="26" t="s">
        <v>55</v>
      </c>
      <c r="P336" s="44" t="s">
        <v>770</v>
      </c>
      <c r="Q336" s="26" t="s">
        <v>57</v>
      </c>
      <c r="R336" s="44" t="s">
        <v>770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5282</v>
      </c>
      <c r="C337" s="25" t="s">
        <v>5283</v>
      </c>
      <c r="D337" s="23" t="s">
        <v>4618</v>
      </c>
      <c r="E337" s="43">
        <v>46125</v>
      </c>
      <c r="F337" s="26" t="s">
        <v>55</v>
      </c>
      <c r="G337" s="44" t="s">
        <v>56</v>
      </c>
      <c r="H337" s="26" t="s">
        <v>57</v>
      </c>
      <c r="I337" s="44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43">
        <v>46196</v>
      </c>
      <c r="O337" s="26" t="s">
        <v>55</v>
      </c>
      <c r="P337" s="44" t="s">
        <v>56</v>
      </c>
      <c r="Q337" s="26" t="s">
        <v>57</v>
      </c>
      <c r="R337" s="44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5284</v>
      </c>
      <c r="C338" s="41" t="s">
        <v>5285</v>
      </c>
      <c r="D338" s="39" t="s">
        <v>4618</v>
      </c>
      <c r="E338" s="43">
        <v>46125</v>
      </c>
      <c r="F338" s="26" t="s">
        <v>55</v>
      </c>
      <c r="G338" s="44" t="s">
        <v>770</v>
      </c>
      <c r="H338" s="26" t="s">
        <v>57</v>
      </c>
      <c r="I338" s="44" t="s">
        <v>770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43">
        <v>46196</v>
      </c>
      <c r="O338" s="26" t="s">
        <v>55</v>
      </c>
      <c r="P338" s="44" t="s">
        <v>770</v>
      </c>
      <c r="Q338" s="26" t="s">
        <v>57</v>
      </c>
      <c r="R338" s="44" t="s">
        <v>770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5286</v>
      </c>
      <c r="C339" s="25" t="s">
        <v>5287</v>
      </c>
      <c r="D339" s="23" t="s">
        <v>4618</v>
      </c>
      <c r="E339" s="43">
        <v>46125</v>
      </c>
      <c r="F339" s="26" t="s">
        <v>55</v>
      </c>
      <c r="G339" s="44" t="s">
        <v>770</v>
      </c>
      <c r="H339" s="26" t="s">
        <v>57</v>
      </c>
      <c r="I339" s="44" t="s">
        <v>770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43">
        <v>46196</v>
      </c>
      <c r="O339" s="26" t="s">
        <v>55</v>
      </c>
      <c r="P339" s="44" t="s">
        <v>770</v>
      </c>
      <c r="Q339" s="26" t="s">
        <v>57</v>
      </c>
      <c r="R339" s="44" t="s">
        <v>770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5288</v>
      </c>
      <c r="C340" s="41" t="s">
        <v>5289</v>
      </c>
      <c r="D340" s="39" t="s">
        <v>4618</v>
      </c>
      <c r="E340" s="43">
        <v>46125</v>
      </c>
      <c r="F340" s="26" t="s">
        <v>55</v>
      </c>
      <c r="G340" s="44" t="s">
        <v>770</v>
      </c>
      <c r="H340" s="26" t="s">
        <v>57</v>
      </c>
      <c r="I340" s="44" t="s">
        <v>770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43">
        <v>46196</v>
      </c>
      <c r="O340" s="26" t="s">
        <v>55</v>
      </c>
      <c r="P340" s="44" t="s">
        <v>770</v>
      </c>
      <c r="Q340" s="26" t="s">
        <v>57</v>
      </c>
      <c r="R340" s="44" t="s">
        <v>770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5290</v>
      </c>
      <c r="C341" s="25" t="s">
        <v>5291</v>
      </c>
      <c r="D341" s="23" t="s">
        <v>4618</v>
      </c>
      <c r="E341" s="43">
        <v>46125</v>
      </c>
      <c r="F341" s="26" t="s">
        <v>55</v>
      </c>
      <c r="G341" s="44" t="s">
        <v>770</v>
      </c>
      <c r="H341" s="26" t="s">
        <v>57</v>
      </c>
      <c r="I341" s="44" t="s">
        <v>770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43">
        <v>46196</v>
      </c>
      <c r="O341" s="26" t="s">
        <v>55</v>
      </c>
      <c r="P341" s="44" t="s">
        <v>770</v>
      </c>
      <c r="Q341" s="26" t="s">
        <v>57</v>
      </c>
      <c r="R341" s="44" t="s">
        <v>770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5292</v>
      </c>
      <c r="C342" s="41" t="s">
        <v>5293</v>
      </c>
      <c r="D342" s="39" t="s">
        <v>4618</v>
      </c>
      <c r="E342" s="43">
        <v>46125</v>
      </c>
      <c r="F342" s="26" t="s">
        <v>55</v>
      </c>
      <c r="G342" s="44" t="s">
        <v>770</v>
      </c>
      <c r="H342" s="26" t="s">
        <v>57</v>
      </c>
      <c r="I342" s="44" t="s">
        <v>770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43">
        <v>46196</v>
      </c>
      <c r="O342" s="26" t="s">
        <v>55</v>
      </c>
      <c r="P342" s="44" t="s">
        <v>770</v>
      </c>
      <c r="Q342" s="26" t="s">
        <v>57</v>
      </c>
      <c r="R342" s="44" t="s">
        <v>770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5294</v>
      </c>
      <c r="C343" s="25" t="s">
        <v>5295</v>
      </c>
      <c r="D343" s="23" t="s">
        <v>4618</v>
      </c>
      <c r="E343" s="43">
        <v>46125</v>
      </c>
      <c r="F343" s="26" t="s">
        <v>55</v>
      </c>
      <c r="G343" s="44" t="s">
        <v>770</v>
      </c>
      <c r="H343" s="26" t="s">
        <v>57</v>
      </c>
      <c r="I343" s="44" t="s">
        <v>770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43">
        <v>46196</v>
      </c>
      <c r="O343" s="26" t="s">
        <v>55</v>
      </c>
      <c r="P343" s="44" t="s">
        <v>770</v>
      </c>
      <c r="Q343" s="26" t="s">
        <v>57</v>
      </c>
      <c r="R343" s="44" t="s">
        <v>770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5296</v>
      </c>
      <c r="C344" s="41" t="s">
        <v>5297</v>
      </c>
      <c r="D344" s="39" t="s">
        <v>4618</v>
      </c>
      <c r="E344" s="43">
        <v>46125</v>
      </c>
      <c r="F344" s="26" t="s">
        <v>55</v>
      </c>
      <c r="G344" s="44" t="s">
        <v>770</v>
      </c>
      <c r="H344" s="26" t="s">
        <v>57</v>
      </c>
      <c r="I344" s="44" t="s">
        <v>770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43">
        <v>46196</v>
      </c>
      <c r="O344" s="26" t="s">
        <v>55</v>
      </c>
      <c r="P344" s="44" t="s">
        <v>770</v>
      </c>
      <c r="Q344" s="26" t="s">
        <v>57</v>
      </c>
      <c r="R344" s="44" t="s">
        <v>770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5298</v>
      </c>
      <c r="C345" s="25" t="s">
        <v>5299</v>
      </c>
      <c r="D345" s="23" t="s">
        <v>4618</v>
      </c>
      <c r="E345" s="43">
        <v>46125</v>
      </c>
      <c r="F345" s="26" t="s">
        <v>55</v>
      </c>
      <c r="G345" s="44" t="s">
        <v>770</v>
      </c>
      <c r="H345" s="26" t="s">
        <v>57</v>
      </c>
      <c r="I345" s="44" t="s">
        <v>770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43">
        <v>46196</v>
      </c>
      <c r="O345" s="26" t="s">
        <v>55</v>
      </c>
      <c r="P345" s="44" t="s">
        <v>770</v>
      </c>
      <c r="Q345" s="26" t="s">
        <v>57</v>
      </c>
      <c r="R345" s="44" t="s">
        <v>770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5300</v>
      </c>
      <c r="C346" s="41" t="s">
        <v>5301</v>
      </c>
      <c r="D346" s="39" t="s">
        <v>4618</v>
      </c>
      <c r="E346" s="43">
        <v>46125</v>
      </c>
      <c r="F346" s="26" t="s">
        <v>55</v>
      </c>
      <c r="G346" s="44" t="s">
        <v>770</v>
      </c>
      <c r="H346" s="26" t="s">
        <v>57</v>
      </c>
      <c r="I346" s="44" t="s">
        <v>770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43">
        <v>46196</v>
      </c>
      <c r="O346" s="26" t="s">
        <v>55</v>
      </c>
      <c r="P346" s="44" t="s">
        <v>770</v>
      </c>
      <c r="Q346" s="26" t="s">
        <v>57</v>
      </c>
      <c r="R346" s="44" t="s">
        <v>770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5302</v>
      </c>
      <c r="C347" s="25" t="s">
        <v>5303</v>
      </c>
      <c r="D347" s="23" t="s">
        <v>4618</v>
      </c>
      <c r="E347" s="43">
        <v>46125</v>
      </c>
      <c r="F347" s="26" t="s">
        <v>55</v>
      </c>
      <c r="G347" s="44" t="s">
        <v>770</v>
      </c>
      <c r="H347" s="26" t="s">
        <v>57</v>
      </c>
      <c r="I347" s="44" t="s">
        <v>770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43">
        <v>46196</v>
      </c>
      <c r="O347" s="26" t="s">
        <v>55</v>
      </c>
      <c r="P347" s="44" t="s">
        <v>770</v>
      </c>
      <c r="Q347" s="26" t="s">
        <v>57</v>
      </c>
      <c r="R347" s="44" t="s">
        <v>770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5304</v>
      </c>
      <c r="C348" s="41" t="s">
        <v>5305</v>
      </c>
      <c r="D348" s="39" t="s">
        <v>4618</v>
      </c>
      <c r="E348" s="43">
        <v>46125</v>
      </c>
      <c r="F348" s="26" t="s">
        <v>55</v>
      </c>
      <c r="G348" s="44" t="s">
        <v>56</v>
      </c>
      <c r="H348" s="26" t="s">
        <v>57</v>
      </c>
      <c r="I348" s="44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43">
        <v>46196</v>
      </c>
      <c r="O348" s="26" t="s">
        <v>55</v>
      </c>
      <c r="P348" s="44" t="s">
        <v>56</v>
      </c>
      <c r="Q348" s="26" t="s">
        <v>57</v>
      </c>
      <c r="R348" s="44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5306</v>
      </c>
      <c r="C349" s="25" t="s">
        <v>5307</v>
      </c>
      <c r="D349" s="23" t="s">
        <v>4618</v>
      </c>
      <c r="E349" s="43">
        <v>46125</v>
      </c>
      <c r="F349" s="26" t="s">
        <v>55</v>
      </c>
      <c r="G349" s="44" t="s">
        <v>770</v>
      </c>
      <c r="H349" s="26" t="s">
        <v>57</v>
      </c>
      <c r="I349" s="44" t="s">
        <v>770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43">
        <v>46196</v>
      </c>
      <c r="O349" s="26" t="s">
        <v>55</v>
      </c>
      <c r="P349" s="44" t="s">
        <v>770</v>
      </c>
      <c r="Q349" s="26" t="s">
        <v>57</v>
      </c>
      <c r="R349" s="44" t="s">
        <v>770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5308</v>
      </c>
      <c r="C350" s="41" t="s">
        <v>5309</v>
      </c>
      <c r="D350" s="39" t="s">
        <v>4618</v>
      </c>
      <c r="E350" s="43">
        <v>46125</v>
      </c>
      <c r="F350" s="26" t="s">
        <v>55</v>
      </c>
      <c r="G350" s="44" t="s">
        <v>770</v>
      </c>
      <c r="H350" s="26" t="s">
        <v>57</v>
      </c>
      <c r="I350" s="44" t="s">
        <v>770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43">
        <v>46196</v>
      </c>
      <c r="O350" s="26" t="s">
        <v>55</v>
      </c>
      <c r="P350" s="44" t="s">
        <v>770</v>
      </c>
      <c r="Q350" s="26" t="s">
        <v>57</v>
      </c>
      <c r="R350" s="44" t="s">
        <v>770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5310</v>
      </c>
      <c r="C351" s="25" t="s">
        <v>5311</v>
      </c>
      <c r="D351" s="23" t="s">
        <v>4618</v>
      </c>
      <c r="E351" s="43">
        <v>46125</v>
      </c>
      <c r="F351" s="26" t="s">
        <v>55</v>
      </c>
      <c r="G351" s="44" t="s">
        <v>770</v>
      </c>
      <c r="H351" s="26" t="s">
        <v>57</v>
      </c>
      <c r="I351" s="44" t="s">
        <v>770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43">
        <v>46196</v>
      </c>
      <c r="O351" s="26" t="s">
        <v>55</v>
      </c>
      <c r="P351" s="44" t="s">
        <v>770</v>
      </c>
      <c r="Q351" s="26" t="s">
        <v>57</v>
      </c>
      <c r="R351" s="44" t="s">
        <v>770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5312</v>
      </c>
      <c r="C352" s="41" t="s">
        <v>5313</v>
      </c>
      <c r="D352" s="39" t="s">
        <v>4618</v>
      </c>
      <c r="E352" s="43">
        <v>46125</v>
      </c>
      <c r="F352" s="26" t="s">
        <v>55</v>
      </c>
      <c r="G352" s="44" t="s">
        <v>770</v>
      </c>
      <c r="H352" s="26" t="s">
        <v>57</v>
      </c>
      <c r="I352" s="44" t="s">
        <v>770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43">
        <v>46196</v>
      </c>
      <c r="O352" s="26" t="s">
        <v>55</v>
      </c>
      <c r="P352" s="44" t="s">
        <v>770</v>
      </c>
      <c r="Q352" s="26" t="s">
        <v>57</v>
      </c>
      <c r="R352" s="44" t="s">
        <v>770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5314</v>
      </c>
      <c r="C353" s="25" t="s">
        <v>5315</v>
      </c>
      <c r="D353" s="23" t="s">
        <v>4618</v>
      </c>
      <c r="E353" s="43">
        <v>46125</v>
      </c>
      <c r="F353" s="26" t="s">
        <v>55</v>
      </c>
      <c r="G353" s="44" t="s">
        <v>770</v>
      </c>
      <c r="H353" s="26" t="s">
        <v>57</v>
      </c>
      <c r="I353" s="44" t="s">
        <v>770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43">
        <v>46196</v>
      </c>
      <c r="O353" s="26" t="s">
        <v>55</v>
      </c>
      <c r="P353" s="44" t="s">
        <v>770</v>
      </c>
      <c r="Q353" s="26" t="s">
        <v>57</v>
      </c>
      <c r="R353" s="44" t="s">
        <v>770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5316</v>
      </c>
      <c r="C354" s="41" t="s">
        <v>5317</v>
      </c>
      <c r="D354" s="39" t="s">
        <v>4618</v>
      </c>
      <c r="E354" s="43">
        <v>46125</v>
      </c>
      <c r="F354" s="26" t="s">
        <v>55</v>
      </c>
      <c r="G354" s="44" t="s">
        <v>770</v>
      </c>
      <c r="H354" s="26" t="s">
        <v>57</v>
      </c>
      <c r="I354" s="44" t="s">
        <v>770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43">
        <v>46196</v>
      </c>
      <c r="O354" s="26" t="s">
        <v>55</v>
      </c>
      <c r="P354" s="44" t="s">
        <v>770</v>
      </c>
      <c r="Q354" s="26" t="s">
        <v>57</v>
      </c>
      <c r="R354" s="44" t="s">
        <v>770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5318</v>
      </c>
      <c r="C355" s="25" t="s">
        <v>5319</v>
      </c>
      <c r="D355" s="23" t="s">
        <v>4618</v>
      </c>
      <c r="E355" s="43">
        <v>46125</v>
      </c>
      <c r="F355" s="26" t="s">
        <v>55</v>
      </c>
      <c r="G355" s="44" t="s">
        <v>770</v>
      </c>
      <c r="H355" s="26" t="s">
        <v>57</v>
      </c>
      <c r="I355" s="44" t="s">
        <v>770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43">
        <v>46196</v>
      </c>
      <c r="O355" s="26" t="s">
        <v>55</v>
      </c>
      <c r="P355" s="44" t="s">
        <v>770</v>
      </c>
      <c r="Q355" s="26" t="s">
        <v>57</v>
      </c>
      <c r="R355" s="44" t="s">
        <v>770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5320</v>
      </c>
      <c r="C356" s="41" t="s">
        <v>5321</v>
      </c>
      <c r="D356" s="39" t="s">
        <v>4618</v>
      </c>
      <c r="E356" s="43">
        <v>46125</v>
      </c>
      <c r="F356" s="26" t="s">
        <v>55</v>
      </c>
      <c r="G356" s="44" t="s">
        <v>770</v>
      </c>
      <c r="H356" s="26" t="s">
        <v>57</v>
      </c>
      <c r="I356" s="44" t="s">
        <v>770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43">
        <v>46196</v>
      </c>
      <c r="O356" s="26" t="s">
        <v>55</v>
      </c>
      <c r="P356" s="44" t="s">
        <v>770</v>
      </c>
      <c r="Q356" s="26" t="s">
        <v>57</v>
      </c>
      <c r="R356" s="44" t="s">
        <v>770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5322</v>
      </c>
      <c r="C357" s="25" t="s">
        <v>5323</v>
      </c>
      <c r="D357" s="23" t="s">
        <v>4618</v>
      </c>
      <c r="E357" s="43">
        <v>46125</v>
      </c>
      <c r="F357" s="26" t="s">
        <v>55</v>
      </c>
      <c r="G357" s="44" t="s">
        <v>770</v>
      </c>
      <c r="H357" s="26" t="s">
        <v>57</v>
      </c>
      <c r="I357" s="44" t="s">
        <v>770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43">
        <v>46196</v>
      </c>
      <c r="O357" s="26" t="s">
        <v>55</v>
      </c>
      <c r="P357" s="44" t="s">
        <v>770</v>
      </c>
      <c r="Q357" s="26" t="s">
        <v>57</v>
      </c>
      <c r="R357" s="44" t="s">
        <v>770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5324</v>
      </c>
      <c r="C358" s="41" t="s">
        <v>5325</v>
      </c>
      <c r="D358" s="39" t="s">
        <v>4618</v>
      </c>
      <c r="E358" s="43">
        <v>46125</v>
      </c>
      <c r="F358" s="26" t="s">
        <v>55</v>
      </c>
      <c r="G358" s="44" t="s">
        <v>770</v>
      </c>
      <c r="H358" s="26" t="s">
        <v>57</v>
      </c>
      <c r="I358" s="44" t="s">
        <v>770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43">
        <v>46196</v>
      </c>
      <c r="O358" s="26" t="s">
        <v>55</v>
      </c>
      <c r="P358" s="44" t="s">
        <v>770</v>
      </c>
      <c r="Q358" s="26" t="s">
        <v>57</v>
      </c>
      <c r="R358" s="44" t="s">
        <v>770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5326</v>
      </c>
      <c r="C359" s="25" t="s">
        <v>5327</v>
      </c>
      <c r="D359" s="23" t="s">
        <v>4618</v>
      </c>
      <c r="E359" s="43">
        <v>46125</v>
      </c>
      <c r="F359" s="26" t="s">
        <v>55</v>
      </c>
      <c r="G359" s="44" t="s">
        <v>770</v>
      </c>
      <c r="H359" s="26" t="s">
        <v>57</v>
      </c>
      <c r="I359" s="44" t="s">
        <v>770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43">
        <v>46196</v>
      </c>
      <c r="O359" s="26" t="s">
        <v>55</v>
      </c>
      <c r="P359" s="44" t="s">
        <v>770</v>
      </c>
      <c r="Q359" s="26" t="s">
        <v>57</v>
      </c>
      <c r="R359" s="44" t="s">
        <v>770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5328</v>
      </c>
      <c r="C360" s="41" t="s">
        <v>5329</v>
      </c>
      <c r="D360" s="39" t="s">
        <v>4618</v>
      </c>
      <c r="E360" s="43">
        <v>46125</v>
      </c>
      <c r="F360" s="26" t="s">
        <v>55</v>
      </c>
      <c r="G360" s="44" t="s">
        <v>770</v>
      </c>
      <c r="H360" s="26" t="s">
        <v>57</v>
      </c>
      <c r="I360" s="44" t="s">
        <v>770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43">
        <v>46196</v>
      </c>
      <c r="O360" s="26" t="s">
        <v>55</v>
      </c>
      <c r="P360" s="44" t="s">
        <v>770</v>
      </c>
      <c r="Q360" s="26" t="s">
        <v>57</v>
      </c>
      <c r="R360" s="44" t="s">
        <v>770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5330</v>
      </c>
      <c r="C361" s="25" t="s">
        <v>5331</v>
      </c>
      <c r="D361" s="23" t="s">
        <v>4618</v>
      </c>
      <c r="E361" s="43">
        <v>46125</v>
      </c>
      <c r="F361" s="26" t="s">
        <v>55</v>
      </c>
      <c r="G361" s="44" t="s">
        <v>770</v>
      </c>
      <c r="H361" s="26" t="s">
        <v>57</v>
      </c>
      <c r="I361" s="44" t="s">
        <v>770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43">
        <v>46196</v>
      </c>
      <c r="O361" s="26" t="s">
        <v>55</v>
      </c>
      <c r="P361" s="44" t="s">
        <v>770</v>
      </c>
      <c r="Q361" s="26" t="s">
        <v>57</v>
      </c>
      <c r="R361" s="44" t="s">
        <v>770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5332</v>
      </c>
      <c r="C362" s="41" t="s">
        <v>5333</v>
      </c>
      <c r="D362" s="39" t="s">
        <v>4618</v>
      </c>
      <c r="E362" s="43">
        <v>46125</v>
      </c>
      <c r="F362" s="26" t="s">
        <v>55</v>
      </c>
      <c r="G362" s="44" t="s">
        <v>56</v>
      </c>
      <c r="H362" s="26" t="s">
        <v>57</v>
      </c>
      <c r="I362" s="44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43">
        <v>46196</v>
      </c>
      <c r="O362" s="26" t="s">
        <v>55</v>
      </c>
      <c r="P362" s="44" t="s">
        <v>56</v>
      </c>
      <c r="Q362" s="26" t="s">
        <v>57</v>
      </c>
      <c r="R362" s="44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5334</v>
      </c>
      <c r="C363" s="25" t="s">
        <v>5335</v>
      </c>
      <c r="D363" s="23" t="s">
        <v>5336</v>
      </c>
      <c r="E363" s="43">
        <v>46125</v>
      </c>
      <c r="F363" s="26" t="s">
        <v>55</v>
      </c>
      <c r="G363" s="44" t="s">
        <v>57</v>
      </c>
      <c r="H363" s="26" t="s">
        <v>57</v>
      </c>
      <c r="I363" s="44" t="s">
        <v>153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43">
        <v>46196</v>
      </c>
      <c r="O363" s="26" t="s">
        <v>55</v>
      </c>
      <c r="P363" s="44" t="s">
        <v>57</v>
      </c>
      <c r="Q363" s="26" t="s">
        <v>57</v>
      </c>
      <c r="R363" s="44" t="s">
        <v>153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5337</v>
      </c>
      <c r="C364" s="41" t="s">
        <v>5338</v>
      </c>
      <c r="D364" s="39" t="s">
        <v>5336</v>
      </c>
      <c r="E364" s="43">
        <v>46125</v>
      </c>
      <c r="F364" s="26" t="s">
        <v>55</v>
      </c>
      <c r="G364" s="44" t="s">
        <v>57</v>
      </c>
      <c r="H364" s="26" t="s">
        <v>57</v>
      </c>
      <c r="I364" s="44" t="s">
        <v>153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43">
        <v>46196</v>
      </c>
      <c r="O364" s="26" t="s">
        <v>55</v>
      </c>
      <c r="P364" s="44" t="s">
        <v>57</v>
      </c>
      <c r="Q364" s="26" t="s">
        <v>57</v>
      </c>
      <c r="R364" s="44" t="s">
        <v>153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5339</v>
      </c>
      <c r="C365" s="25" t="s">
        <v>5340</v>
      </c>
      <c r="D365" s="23" t="s">
        <v>5336</v>
      </c>
      <c r="E365" s="43">
        <v>46125</v>
      </c>
      <c r="F365" s="26" t="s">
        <v>55</v>
      </c>
      <c r="G365" s="44" t="s">
        <v>57</v>
      </c>
      <c r="H365" s="26" t="s">
        <v>57</v>
      </c>
      <c r="I365" s="44" t="s">
        <v>153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43">
        <v>46196</v>
      </c>
      <c r="O365" s="26" t="s">
        <v>55</v>
      </c>
      <c r="P365" s="44" t="s">
        <v>57</v>
      </c>
      <c r="Q365" s="26" t="s">
        <v>57</v>
      </c>
      <c r="R365" s="44" t="s">
        <v>153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5341</v>
      </c>
      <c r="C366" s="41" t="s">
        <v>5342</v>
      </c>
      <c r="D366" s="39" t="s">
        <v>5336</v>
      </c>
      <c r="E366" s="43">
        <v>46125</v>
      </c>
      <c r="F366" s="26" t="s">
        <v>55</v>
      </c>
      <c r="G366" s="44" t="s">
        <v>57</v>
      </c>
      <c r="H366" s="26" t="s">
        <v>57</v>
      </c>
      <c r="I366" s="44" t="s">
        <v>153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43">
        <v>46196</v>
      </c>
      <c r="O366" s="26" t="s">
        <v>55</v>
      </c>
      <c r="P366" s="44" t="s">
        <v>57</v>
      </c>
      <c r="Q366" s="26" t="s">
        <v>57</v>
      </c>
      <c r="R366" s="44" t="s">
        <v>153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5343</v>
      </c>
      <c r="C367" s="25" t="s">
        <v>5344</v>
      </c>
      <c r="D367" s="23" t="s">
        <v>5336</v>
      </c>
      <c r="E367" s="43">
        <v>46125</v>
      </c>
      <c r="F367" s="26" t="s">
        <v>55</v>
      </c>
      <c r="G367" s="44" t="s">
        <v>57</v>
      </c>
      <c r="H367" s="26" t="s">
        <v>57</v>
      </c>
      <c r="I367" s="44" t="s">
        <v>153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43">
        <v>46196</v>
      </c>
      <c r="O367" s="26" t="s">
        <v>55</v>
      </c>
      <c r="P367" s="44" t="s">
        <v>57</v>
      </c>
      <c r="Q367" s="26" t="s">
        <v>57</v>
      </c>
      <c r="R367" s="44" t="s">
        <v>153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5345</v>
      </c>
      <c r="C368" s="41" t="s">
        <v>5346</v>
      </c>
      <c r="D368" s="39" t="s">
        <v>5336</v>
      </c>
      <c r="E368" s="43">
        <v>46125</v>
      </c>
      <c r="F368" s="26" t="s">
        <v>55</v>
      </c>
      <c r="G368" s="44" t="s">
        <v>57</v>
      </c>
      <c r="H368" s="26" t="s">
        <v>57</v>
      </c>
      <c r="I368" s="44" t="s">
        <v>153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43">
        <v>46196</v>
      </c>
      <c r="O368" s="26" t="s">
        <v>55</v>
      </c>
      <c r="P368" s="44" t="s">
        <v>57</v>
      </c>
      <c r="Q368" s="26" t="s">
        <v>57</v>
      </c>
      <c r="R368" s="44" t="s">
        <v>153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5347</v>
      </c>
      <c r="C369" s="25" t="s">
        <v>5348</v>
      </c>
      <c r="D369" s="23" t="s">
        <v>5336</v>
      </c>
      <c r="E369" s="43">
        <v>46125</v>
      </c>
      <c r="F369" s="26" t="s">
        <v>55</v>
      </c>
      <c r="G369" s="44" t="s">
        <v>57</v>
      </c>
      <c r="H369" s="26" t="s">
        <v>57</v>
      </c>
      <c r="I369" s="44" t="s">
        <v>153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43">
        <v>46196</v>
      </c>
      <c r="O369" s="26" t="s">
        <v>55</v>
      </c>
      <c r="P369" s="44" t="s">
        <v>57</v>
      </c>
      <c r="Q369" s="26" t="s">
        <v>57</v>
      </c>
      <c r="R369" s="44" t="s">
        <v>153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5349</v>
      </c>
      <c r="C370" s="41" t="s">
        <v>5350</v>
      </c>
      <c r="D370" s="39" t="s">
        <v>5336</v>
      </c>
      <c r="E370" s="43">
        <v>46125</v>
      </c>
      <c r="F370" s="26" t="s">
        <v>55</v>
      </c>
      <c r="G370" s="44" t="s">
        <v>57</v>
      </c>
      <c r="H370" s="26" t="s">
        <v>57</v>
      </c>
      <c r="I370" s="44" t="s">
        <v>153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43">
        <v>46196</v>
      </c>
      <c r="O370" s="26" t="s">
        <v>55</v>
      </c>
      <c r="P370" s="44" t="s">
        <v>57</v>
      </c>
      <c r="Q370" s="26" t="s">
        <v>57</v>
      </c>
      <c r="R370" s="44" t="s">
        <v>153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5351</v>
      </c>
      <c r="C371" s="25" t="s">
        <v>5352</v>
      </c>
      <c r="D371" s="23" t="s">
        <v>5336</v>
      </c>
      <c r="E371" s="43">
        <v>46125</v>
      </c>
      <c r="F371" s="26" t="s">
        <v>55</v>
      </c>
      <c r="G371" s="44" t="s">
        <v>57</v>
      </c>
      <c r="H371" s="26" t="s">
        <v>57</v>
      </c>
      <c r="I371" s="44" t="s">
        <v>153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43">
        <v>46196</v>
      </c>
      <c r="O371" s="26" t="s">
        <v>55</v>
      </c>
      <c r="P371" s="44" t="s">
        <v>57</v>
      </c>
      <c r="Q371" s="26" t="s">
        <v>57</v>
      </c>
      <c r="R371" s="44" t="s">
        <v>153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5353</v>
      </c>
      <c r="C372" s="41" t="s">
        <v>5354</v>
      </c>
      <c r="D372" s="39" t="s">
        <v>5336</v>
      </c>
      <c r="E372" s="43">
        <v>46125</v>
      </c>
      <c r="F372" s="26" t="s">
        <v>55</v>
      </c>
      <c r="G372" s="44" t="s">
        <v>57</v>
      </c>
      <c r="H372" s="26" t="s">
        <v>57</v>
      </c>
      <c r="I372" s="44" t="s">
        <v>153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43">
        <v>46196</v>
      </c>
      <c r="O372" s="26" t="s">
        <v>55</v>
      </c>
      <c r="P372" s="44" t="s">
        <v>57</v>
      </c>
      <c r="Q372" s="26" t="s">
        <v>57</v>
      </c>
      <c r="R372" s="44" t="s">
        <v>153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5355</v>
      </c>
      <c r="C373" s="25" t="s">
        <v>5356</v>
      </c>
      <c r="D373" s="23" t="s">
        <v>5336</v>
      </c>
      <c r="E373" s="43">
        <v>46125</v>
      </c>
      <c r="F373" s="26" t="s">
        <v>55</v>
      </c>
      <c r="G373" s="44" t="s">
        <v>57</v>
      </c>
      <c r="H373" s="26" t="s">
        <v>57</v>
      </c>
      <c r="I373" s="44" t="s">
        <v>153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43">
        <v>46196</v>
      </c>
      <c r="O373" s="26" t="s">
        <v>55</v>
      </c>
      <c r="P373" s="44" t="s">
        <v>57</v>
      </c>
      <c r="Q373" s="26" t="s">
        <v>57</v>
      </c>
      <c r="R373" s="44" t="s">
        <v>153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5357</v>
      </c>
      <c r="C374" s="41" t="s">
        <v>5358</v>
      </c>
      <c r="D374" s="39" t="s">
        <v>5336</v>
      </c>
      <c r="E374" s="43">
        <v>46125</v>
      </c>
      <c r="F374" s="26" t="s">
        <v>55</v>
      </c>
      <c r="G374" s="44" t="s">
        <v>57</v>
      </c>
      <c r="H374" s="26" t="s">
        <v>57</v>
      </c>
      <c r="I374" s="44" t="s">
        <v>153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43">
        <v>46196</v>
      </c>
      <c r="O374" s="26" t="s">
        <v>55</v>
      </c>
      <c r="P374" s="44" t="s">
        <v>57</v>
      </c>
      <c r="Q374" s="26" t="s">
        <v>57</v>
      </c>
      <c r="R374" s="44" t="s">
        <v>153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5359</v>
      </c>
      <c r="C375" s="25" t="s">
        <v>5360</v>
      </c>
      <c r="D375" s="23" t="s">
        <v>5336</v>
      </c>
      <c r="E375" s="43">
        <v>46125</v>
      </c>
      <c r="F375" s="26" t="s">
        <v>55</v>
      </c>
      <c r="G375" s="44" t="s">
        <v>57</v>
      </c>
      <c r="H375" s="26" t="s">
        <v>57</v>
      </c>
      <c r="I375" s="44" t="s">
        <v>153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43">
        <v>46196</v>
      </c>
      <c r="O375" s="26" t="s">
        <v>55</v>
      </c>
      <c r="P375" s="44" t="s">
        <v>57</v>
      </c>
      <c r="Q375" s="26" t="s">
        <v>57</v>
      </c>
      <c r="R375" s="44" t="s">
        <v>153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5361</v>
      </c>
      <c r="C376" s="41" t="s">
        <v>5362</v>
      </c>
      <c r="D376" s="39" t="s">
        <v>5336</v>
      </c>
      <c r="E376" s="43">
        <v>46125</v>
      </c>
      <c r="F376" s="26" t="s">
        <v>55</v>
      </c>
      <c r="G376" s="44" t="s">
        <v>57</v>
      </c>
      <c r="H376" s="26" t="s">
        <v>57</v>
      </c>
      <c r="I376" s="44" t="s">
        <v>153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43">
        <v>46196</v>
      </c>
      <c r="O376" s="26" t="s">
        <v>55</v>
      </c>
      <c r="P376" s="44" t="s">
        <v>57</v>
      </c>
      <c r="Q376" s="26" t="s">
        <v>57</v>
      </c>
      <c r="R376" s="44" t="s">
        <v>153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5363</v>
      </c>
      <c r="C377" s="25" t="s">
        <v>5364</v>
      </c>
      <c r="D377" s="23" t="s">
        <v>5336</v>
      </c>
      <c r="E377" s="43">
        <v>46125</v>
      </c>
      <c r="F377" s="26" t="s">
        <v>55</v>
      </c>
      <c r="G377" s="44" t="s">
        <v>57</v>
      </c>
      <c r="H377" s="26" t="s">
        <v>57</v>
      </c>
      <c r="I377" s="44" t="s">
        <v>153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43">
        <v>46196</v>
      </c>
      <c r="O377" s="26" t="s">
        <v>55</v>
      </c>
      <c r="P377" s="44" t="s">
        <v>57</v>
      </c>
      <c r="Q377" s="26" t="s">
        <v>57</v>
      </c>
      <c r="R377" s="44" t="s">
        <v>153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5365</v>
      </c>
      <c r="C378" s="41" t="s">
        <v>5366</v>
      </c>
      <c r="D378" s="39" t="s">
        <v>5336</v>
      </c>
      <c r="E378" s="43">
        <v>46125</v>
      </c>
      <c r="F378" s="26" t="s">
        <v>55</v>
      </c>
      <c r="G378" s="44" t="s">
        <v>57</v>
      </c>
      <c r="H378" s="26" t="s">
        <v>57</v>
      </c>
      <c r="I378" s="44" t="s">
        <v>153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43">
        <v>46196</v>
      </c>
      <c r="O378" s="26" t="s">
        <v>55</v>
      </c>
      <c r="P378" s="44" t="s">
        <v>57</v>
      </c>
      <c r="Q378" s="26" t="s">
        <v>57</v>
      </c>
      <c r="R378" s="44" t="s">
        <v>153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5367</v>
      </c>
      <c r="C379" s="25" t="s">
        <v>5368</v>
      </c>
      <c r="D379" s="23" t="s">
        <v>5336</v>
      </c>
      <c r="E379" s="43">
        <v>46125</v>
      </c>
      <c r="F379" s="26" t="s">
        <v>55</v>
      </c>
      <c r="G379" s="44" t="s">
        <v>57</v>
      </c>
      <c r="H379" s="26" t="s">
        <v>57</v>
      </c>
      <c r="I379" s="44" t="s">
        <v>153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43">
        <v>46196</v>
      </c>
      <c r="O379" s="26" t="s">
        <v>55</v>
      </c>
      <c r="P379" s="44" t="s">
        <v>57</v>
      </c>
      <c r="Q379" s="26" t="s">
        <v>57</v>
      </c>
      <c r="R379" s="44" t="s">
        <v>153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5369</v>
      </c>
      <c r="C380" s="41" t="s">
        <v>5370</v>
      </c>
      <c r="D380" s="39" t="s">
        <v>4198</v>
      </c>
      <c r="E380" s="43">
        <v>46125</v>
      </c>
      <c r="F380" s="26" t="s">
        <v>55</v>
      </c>
      <c r="G380" s="44" t="s">
        <v>56</v>
      </c>
      <c r="H380" s="26" t="s">
        <v>57</v>
      </c>
      <c r="I380" s="44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43">
        <v>46196</v>
      </c>
      <c r="O380" s="26" t="s">
        <v>55</v>
      </c>
      <c r="P380" s="44" t="s">
        <v>56</v>
      </c>
      <c r="Q380" s="26" t="s">
        <v>57</v>
      </c>
      <c r="R380" s="44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5371</v>
      </c>
      <c r="C381" s="25" t="s">
        <v>5372</v>
      </c>
      <c r="D381" s="23" t="s">
        <v>4198</v>
      </c>
      <c r="E381" s="43">
        <v>46125</v>
      </c>
      <c r="F381" s="26" t="s">
        <v>55</v>
      </c>
      <c r="G381" s="44" t="s">
        <v>56</v>
      </c>
      <c r="H381" s="26" t="s">
        <v>57</v>
      </c>
      <c r="I381" s="44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43">
        <v>46196</v>
      </c>
      <c r="O381" s="26" t="s">
        <v>55</v>
      </c>
      <c r="P381" s="44" t="s">
        <v>56</v>
      </c>
      <c r="Q381" s="26" t="s">
        <v>57</v>
      </c>
      <c r="R381" s="44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5373</v>
      </c>
      <c r="C382" s="41" t="s">
        <v>5374</v>
      </c>
      <c r="D382" s="39" t="s">
        <v>4198</v>
      </c>
      <c r="E382" s="43">
        <v>46125</v>
      </c>
      <c r="F382" s="26" t="s">
        <v>55</v>
      </c>
      <c r="G382" s="44" t="s">
        <v>56</v>
      </c>
      <c r="H382" s="26" t="s">
        <v>57</v>
      </c>
      <c r="I382" s="44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43">
        <v>46196</v>
      </c>
      <c r="O382" s="26" t="s">
        <v>55</v>
      </c>
      <c r="P382" s="44" t="s">
        <v>56</v>
      </c>
      <c r="Q382" s="26" t="s">
        <v>57</v>
      </c>
      <c r="R382" s="44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5375</v>
      </c>
      <c r="C383" s="25" t="s">
        <v>5376</v>
      </c>
      <c r="D383" s="23" t="s">
        <v>4198</v>
      </c>
      <c r="E383" s="43">
        <v>46125</v>
      </c>
      <c r="F383" s="26" t="s">
        <v>55</v>
      </c>
      <c r="G383" s="44" t="s">
        <v>56</v>
      </c>
      <c r="H383" s="26" t="s">
        <v>57</v>
      </c>
      <c r="I383" s="44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43">
        <v>46196</v>
      </c>
      <c r="O383" s="26" t="s">
        <v>55</v>
      </c>
      <c r="P383" s="44" t="s">
        <v>56</v>
      </c>
      <c r="Q383" s="26" t="s">
        <v>57</v>
      </c>
      <c r="R383" s="44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5377</v>
      </c>
      <c r="C384" s="41" t="s">
        <v>5378</v>
      </c>
      <c r="D384" s="39" t="s">
        <v>4198</v>
      </c>
      <c r="E384" s="43">
        <v>46125</v>
      </c>
      <c r="F384" s="26" t="s">
        <v>55</v>
      </c>
      <c r="G384" s="44" t="s">
        <v>56</v>
      </c>
      <c r="H384" s="26" t="s">
        <v>57</v>
      </c>
      <c r="I384" s="44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43">
        <v>46196</v>
      </c>
      <c r="O384" s="26" t="s">
        <v>55</v>
      </c>
      <c r="P384" s="44" t="s">
        <v>56</v>
      </c>
      <c r="Q384" s="26" t="s">
        <v>57</v>
      </c>
      <c r="R384" s="44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5379</v>
      </c>
      <c r="C385" s="25" t="s">
        <v>5380</v>
      </c>
      <c r="D385" s="23" t="s">
        <v>4198</v>
      </c>
      <c r="E385" s="43">
        <v>46125</v>
      </c>
      <c r="F385" s="26" t="s">
        <v>55</v>
      </c>
      <c r="G385" s="44" t="s">
        <v>56</v>
      </c>
      <c r="H385" s="26" t="s">
        <v>57</v>
      </c>
      <c r="I385" s="44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43">
        <v>46196</v>
      </c>
      <c r="O385" s="26" t="s">
        <v>55</v>
      </c>
      <c r="P385" s="44" t="s">
        <v>56</v>
      </c>
      <c r="Q385" s="26" t="s">
        <v>57</v>
      </c>
      <c r="R385" s="44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5381</v>
      </c>
      <c r="C386" s="41" t="s">
        <v>5382</v>
      </c>
      <c r="D386" s="39" t="s">
        <v>4198</v>
      </c>
      <c r="E386" s="43">
        <v>46125</v>
      </c>
      <c r="F386" s="26" t="s">
        <v>55</v>
      </c>
      <c r="G386" s="44" t="s">
        <v>56</v>
      </c>
      <c r="H386" s="26" t="s">
        <v>57</v>
      </c>
      <c r="I386" s="44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43">
        <v>46196</v>
      </c>
      <c r="O386" s="26" t="s">
        <v>55</v>
      </c>
      <c r="P386" s="44" t="s">
        <v>56</v>
      </c>
      <c r="Q386" s="26" t="s">
        <v>57</v>
      </c>
      <c r="R386" s="44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5383</v>
      </c>
      <c r="C387" s="25" t="s">
        <v>5384</v>
      </c>
      <c r="D387" s="23" t="s">
        <v>4198</v>
      </c>
      <c r="E387" s="43">
        <v>46125</v>
      </c>
      <c r="F387" s="26" t="s">
        <v>55</v>
      </c>
      <c r="G387" s="44" t="s">
        <v>56</v>
      </c>
      <c r="H387" s="26" t="s">
        <v>57</v>
      </c>
      <c r="I387" s="44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43">
        <v>46196</v>
      </c>
      <c r="O387" s="26" t="s">
        <v>55</v>
      </c>
      <c r="P387" s="44" t="s">
        <v>56</v>
      </c>
      <c r="Q387" s="26" t="s">
        <v>57</v>
      </c>
      <c r="R387" s="44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5385</v>
      </c>
      <c r="C388" s="41" t="s">
        <v>5386</v>
      </c>
      <c r="D388" s="39" t="s">
        <v>4198</v>
      </c>
      <c r="E388" s="43">
        <v>46125</v>
      </c>
      <c r="F388" s="26" t="s">
        <v>55</v>
      </c>
      <c r="G388" s="44" t="s">
        <v>56</v>
      </c>
      <c r="H388" s="26" t="s">
        <v>57</v>
      </c>
      <c r="I388" s="44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43">
        <v>46196</v>
      </c>
      <c r="O388" s="26" t="s">
        <v>55</v>
      </c>
      <c r="P388" s="44" t="s">
        <v>56</v>
      </c>
      <c r="Q388" s="26" t="s">
        <v>57</v>
      </c>
      <c r="R388" s="44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5387</v>
      </c>
      <c r="C389" s="25" t="s">
        <v>5388</v>
      </c>
      <c r="D389" s="23" t="s">
        <v>4198</v>
      </c>
      <c r="E389" s="43">
        <v>46125</v>
      </c>
      <c r="F389" s="26" t="s">
        <v>55</v>
      </c>
      <c r="G389" s="44" t="s">
        <v>56</v>
      </c>
      <c r="H389" s="26" t="s">
        <v>57</v>
      </c>
      <c r="I389" s="44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43">
        <v>46196</v>
      </c>
      <c r="O389" s="26" t="s">
        <v>55</v>
      </c>
      <c r="P389" s="44" t="s">
        <v>56</v>
      </c>
      <c r="Q389" s="26" t="s">
        <v>57</v>
      </c>
      <c r="R389" s="44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5389</v>
      </c>
      <c r="C390" s="41" t="s">
        <v>5390</v>
      </c>
      <c r="D390" s="39" t="s">
        <v>5391</v>
      </c>
      <c r="E390" s="43">
        <v>46125</v>
      </c>
      <c r="F390" s="26" t="s">
        <v>55</v>
      </c>
      <c r="G390" s="44" t="s">
        <v>57</v>
      </c>
      <c r="H390" s="26" t="s">
        <v>57</v>
      </c>
      <c r="I390" s="44" t="s">
        <v>153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43">
        <v>46196</v>
      </c>
      <c r="O390" s="26" t="s">
        <v>55</v>
      </c>
      <c r="P390" s="44" t="s">
        <v>57</v>
      </c>
      <c r="Q390" s="26" t="s">
        <v>57</v>
      </c>
      <c r="R390" s="44" t="s">
        <v>153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5392</v>
      </c>
      <c r="C391" s="25" t="s">
        <v>5393</v>
      </c>
      <c r="D391" s="23" t="s">
        <v>5391</v>
      </c>
      <c r="E391" s="43">
        <v>46125</v>
      </c>
      <c r="F391" s="26" t="s">
        <v>55</v>
      </c>
      <c r="G391" s="44" t="s">
        <v>57</v>
      </c>
      <c r="H391" s="26" t="s">
        <v>57</v>
      </c>
      <c r="I391" s="44" t="s">
        <v>153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43">
        <v>46196</v>
      </c>
      <c r="O391" s="26" t="s">
        <v>55</v>
      </c>
      <c r="P391" s="44" t="s">
        <v>57</v>
      </c>
      <c r="Q391" s="26" t="s">
        <v>57</v>
      </c>
      <c r="R391" s="44" t="s">
        <v>153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5394</v>
      </c>
      <c r="C392" s="41" t="s">
        <v>5395</v>
      </c>
      <c r="D392" s="39" t="s">
        <v>5391</v>
      </c>
      <c r="E392" s="43">
        <v>46125</v>
      </c>
      <c r="F392" s="26" t="s">
        <v>55</v>
      </c>
      <c r="G392" s="44" t="s">
        <v>57</v>
      </c>
      <c r="H392" s="26" t="s">
        <v>57</v>
      </c>
      <c r="I392" s="44" t="s">
        <v>153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43">
        <v>46196</v>
      </c>
      <c r="O392" s="26" t="s">
        <v>55</v>
      </c>
      <c r="P392" s="44" t="s">
        <v>57</v>
      </c>
      <c r="Q392" s="26" t="s">
        <v>57</v>
      </c>
      <c r="R392" s="44" t="s">
        <v>153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5396</v>
      </c>
      <c r="C393" s="25" t="s">
        <v>5397</v>
      </c>
      <c r="D393" s="23" t="s">
        <v>5391</v>
      </c>
      <c r="E393" s="43">
        <v>46125</v>
      </c>
      <c r="F393" s="26" t="s">
        <v>55</v>
      </c>
      <c r="G393" s="44" t="s">
        <v>57</v>
      </c>
      <c r="H393" s="26" t="s">
        <v>57</v>
      </c>
      <c r="I393" s="44" t="s">
        <v>153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43">
        <v>46196</v>
      </c>
      <c r="O393" s="26" t="s">
        <v>55</v>
      </c>
      <c r="P393" s="44" t="s">
        <v>57</v>
      </c>
      <c r="Q393" s="26" t="s">
        <v>57</v>
      </c>
      <c r="R393" s="44" t="s">
        <v>153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5398</v>
      </c>
      <c r="C394" s="41" t="s">
        <v>5399</v>
      </c>
      <c r="D394" s="39" t="s">
        <v>5391</v>
      </c>
      <c r="E394" s="43">
        <v>46125</v>
      </c>
      <c r="F394" s="26" t="s">
        <v>55</v>
      </c>
      <c r="G394" s="44" t="s">
        <v>57</v>
      </c>
      <c r="H394" s="26" t="s">
        <v>57</v>
      </c>
      <c r="I394" s="44" t="s">
        <v>153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43">
        <v>46196</v>
      </c>
      <c r="O394" s="26" t="s">
        <v>55</v>
      </c>
      <c r="P394" s="44" t="s">
        <v>57</v>
      </c>
      <c r="Q394" s="26" t="s">
        <v>57</v>
      </c>
      <c r="R394" s="44" t="s">
        <v>153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5400</v>
      </c>
      <c r="C395" s="25" t="s">
        <v>5401</v>
      </c>
      <c r="D395" s="23" t="s">
        <v>5391</v>
      </c>
      <c r="E395" s="43">
        <v>46125</v>
      </c>
      <c r="F395" s="26" t="s">
        <v>55</v>
      </c>
      <c r="G395" s="44" t="s">
        <v>57</v>
      </c>
      <c r="H395" s="26" t="s">
        <v>57</v>
      </c>
      <c r="I395" s="44" t="s">
        <v>153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43">
        <v>46196</v>
      </c>
      <c r="O395" s="26" t="s">
        <v>55</v>
      </c>
      <c r="P395" s="44" t="s">
        <v>57</v>
      </c>
      <c r="Q395" s="26" t="s">
        <v>57</v>
      </c>
      <c r="R395" s="44" t="s">
        <v>153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5402</v>
      </c>
      <c r="C396" s="41" t="s">
        <v>5403</v>
      </c>
      <c r="D396" s="39" t="s">
        <v>5391</v>
      </c>
      <c r="E396" s="43">
        <v>46125</v>
      </c>
      <c r="F396" s="26" t="s">
        <v>55</v>
      </c>
      <c r="G396" s="44" t="s">
        <v>57</v>
      </c>
      <c r="H396" s="26" t="s">
        <v>57</v>
      </c>
      <c r="I396" s="44" t="s">
        <v>153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43">
        <v>46196</v>
      </c>
      <c r="O396" s="26" t="s">
        <v>55</v>
      </c>
      <c r="P396" s="44" t="s">
        <v>57</v>
      </c>
      <c r="Q396" s="26" t="s">
        <v>57</v>
      </c>
      <c r="R396" s="44" t="s">
        <v>153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5404</v>
      </c>
      <c r="C397" s="25" t="s">
        <v>5405</v>
      </c>
      <c r="D397" s="23" t="s">
        <v>5391</v>
      </c>
      <c r="E397" s="43">
        <v>46125</v>
      </c>
      <c r="F397" s="26" t="s">
        <v>55</v>
      </c>
      <c r="G397" s="44" t="s">
        <v>57</v>
      </c>
      <c r="H397" s="26" t="s">
        <v>57</v>
      </c>
      <c r="I397" s="44" t="s">
        <v>153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43">
        <v>46196</v>
      </c>
      <c r="O397" s="26" t="s">
        <v>55</v>
      </c>
      <c r="P397" s="44" t="s">
        <v>57</v>
      </c>
      <c r="Q397" s="26" t="s">
        <v>57</v>
      </c>
      <c r="R397" s="44" t="s">
        <v>153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5406</v>
      </c>
      <c r="C398" s="41" t="s">
        <v>5407</v>
      </c>
      <c r="D398" s="39" t="s">
        <v>5391</v>
      </c>
      <c r="E398" s="43">
        <v>46125</v>
      </c>
      <c r="F398" s="26" t="s">
        <v>55</v>
      </c>
      <c r="G398" s="44" t="s">
        <v>57</v>
      </c>
      <c r="H398" s="26" t="s">
        <v>57</v>
      </c>
      <c r="I398" s="44" t="s">
        <v>153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43">
        <v>46196</v>
      </c>
      <c r="O398" s="26" t="s">
        <v>55</v>
      </c>
      <c r="P398" s="44" t="s">
        <v>57</v>
      </c>
      <c r="Q398" s="26" t="s">
        <v>57</v>
      </c>
      <c r="R398" s="44" t="s">
        <v>153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5408</v>
      </c>
      <c r="C399" s="25" t="s">
        <v>5409</v>
      </c>
      <c r="D399" s="23" t="s">
        <v>5391</v>
      </c>
      <c r="E399" s="43">
        <v>46125</v>
      </c>
      <c r="F399" s="26" t="s">
        <v>55</v>
      </c>
      <c r="G399" s="44" t="s">
        <v>57</v>
      </c>
      <c r="H399" s="26" t="s">
        <v>57</v>
      </c>
      <c r="I399" s="44" t="s">
        <v>153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43">
        <v>46196</v>
      </c>
      <c r="O399" s="26" t="s">
        <v>55</v>
      </c>
      <c r="P399" s="44" t="s">
        <v>57</v>
      </c>
      <c r="Q399" s="26" t="s">
        <v>57</v>
      </c>
      <c r="R399" s="44" t="s">
        <v>153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5410</v>
      </c>
      <c r="C400" s="41" t="s">
        <v>5411</v>
      </c>
      <c r="D400" s="39" t="s">
        <v>5391</v>
      </c>
      <c r="E400" s="43">
        <v>46125</v>
      </c>
      <c r="F400" s="26" t="s">
        <v>55</v>
      </c>
      <c r="G400" s="44" t="s">
        <v>57</v>
      </c>
      <c r="H400" s="26" t="s">
        <v>57</v>
      </c>
      <c r="I400" s="44" t="s">
        <v>153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43">
        <v>46196</v>
      </c>
      <c r="O400" s="26" t="s">
        <v>55</v>
      </c>
      <c r="P400" s="44" t="s">
        <v>57</v>
      </c>
      <c r="Q400" s="26" t="s">
        <v>57</v>
      </c>
      <c r="R400" s="44" t="s">
        <v>153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5412</v>
      </c>
      <c r="C401" s="25" t="s">
        <v>5413</v>
      </c>
      <c r="D401" s="23" t="s">
        <v>5391</v>
      </c>
      <c r="E401" s="43">
        <v>46125</v>
      </c>
      <c r="F401" s="26" t="s">
        <v>55</v>
      </c>
      <c r="G401" s="44" t="s">
        <v>57</v>
      </c>
      <c r="H401" s="26" t="s">
        <v>57</v>
      </c>
      <c r="I401" s="44" t="s">
        <v>153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43">
        <v>46196</v>
      </c>
      <c r="O401" s="26" t="s">
        <v>55</v>
      </c>
      <c r="P401" s="44" t="s">
        <v>57</v>
      </c>
      <c r="Q401" s="26" t="s">
        <v>57</v>
      </c>
      <c r="R401" s="44" t="s">
        <v>153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5414</v>
      </c>
      <c r="C402" s="41" t="s">
        <v>5415</v>
      </c>
      <c r="D402" s="39" t="s">
        <v>5391</v>
      </c>
      <c r="E402" s="43">
        <v>46125</v>
      </c>
      <c r="F402" s="26" t="s">
        <v>55</v>
      </c>
      <c r="G402" s="44" t="s">
        <v>57</v>
      </c>
      <c r="H402" s="26" t="s">
        <v>57</v>
      </c>
      <c r="I402" s="44" t="s">
        <v>153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43">
        <v>46196</v>
      </c>
      <c r="O402" s="26" t="s">
        <v>55</v>
      </c>
      <c r="P402" s="44" t="s">
        <v>57</v>
      </c>
      <c r="Q402" s="26" t="s">
        <v>57</v>
      </c>
      <c r="R402" s="44" t="s">
        <v>153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5416</v>
      </c>
      <c r="C403" s="25" t="s">
        <v>5417</v>
      </c>
      <c r="D403" s="23" t="s">
        <v>5391</v>
      </c>
      <c r="E403" s="43">
        <v>46125</v>
      </c>
      <c r="F403" s="26" t="s">
        <v>55</v>
      </c>
      <c r="G403" s="44" t="s">
        <v>57</v>
      </c>
      <c r="H403" s="26" t="s">
        <v>57</v>
      </c>
      <c r="I403" s="44" t="s">
        <v>153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43">
        <v>46196</v>
      </c>
      <c r="O403" s="26" t="s">
        <v>55</v>
      </c>
      <c r="P403" s="44" t="s">
        <v>57</v>
      </c>
      <c r="Q403" s="26" t="s">
        <v>57</v>
      </c>
      <c r="R403" s="44" t="s">
        <v>153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5418</v>
      </c>
      <c r="C404" s="41" t="s">
        <v>5419</v>
      </c>
      <c r="D404" s="39" t="s">
        <v>5391</v>
      </c>
      <c r="E404" s="43">
        <v>46125</v>
      </c>
      <c r="F404" s="26" t="s">
        <v>55</v>
      </c>
      <c r="G404" s="44" t="s">
        <v>57</v>
      </c>
      <c r="H404" s="26" t="s">
        <v>57</v>
      </c>
      <c r="I404" s="44" t="s">
        <v>153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43">
        <v>46196</v>
      </c>
      <c r="O404" s="26" t="s">
        <v>55</v>
      </c>
      <c r="P404" s="44" t="s">
        <v>57</v>
      </c>
      <c r="Q404" s="26" t="s">
        <v>57</v>
      </c>
      <c r="R404" s="44" t="s">
        <v>153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5420</v>
      </c>
      <c r="C405" s="25" t="s">
        <v>5421</v>
      </c>
      <c r="D405" s="23" t="s">
        <v>5391</v>
      </c>
      <c r="E405" s="43">
        <v>46125</v>
      </c>
      <c r="F405" s="26" t="s">
        <v>55</v>
      </c>
      <c r="G405" s="44" t="s">
        <v>57</v>
      </c>
      <c r="H405" s="26" t="s">
        <v>57</v>
      </c>
      <c r="I405" s="44" t="s">
        <v>153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43">
        <v>46196</v>
      </c>
      <c r="O405" s="26" t="s">
        <v>55</v>
      </c>
      <c r="P405" s="44" t="s">
        <v>57</v>
      </c>
      <c r="Q405" s="26" t="s">
        <v>57</v>
      </c>
      <c r="R405" s="44" t="s">
        <v>153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5422</v>
      </c>
      <c r="C406" s="41" t="s">
        <v>5423</v>
      </c>
      <c r="D406" s="39" t="s">
        <v>5391</v>
      </c>
      <c r="E406" s="43">
        <v>46125</v>
      </c>
      <c r="F406" s="26" t="s">
        <v>55</v>
      </c>
      <c r="G406" s="44" t="s">
        <v>57</v>
      </c>
      <c r="H406" s="26" t="s">
        <v>57</v>
      </c>
      <c r="I406" s="44" t="s">
        <v>153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43">
        <v>46196</v>
      </c>
      <c r="O406" s="26" t="s">
        <v>55</v>
      </c>
      <c r="P406" s="44" t="s">
        <v>57</v>
      </c>
      <c r="Q406" s="26" t="s">
        <v>57</v>
      </c>
      <c r="R406" s="44" t="s">
        <v>153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5424</v>
      </c>
      <c r="C407" s="25" t="s">
        <v>5425</v>
      </c>
      <c r="D407" s="23" t="s">
        <v>5391</v>
      </c>
      <c r="E407" s="43">
        <v>46125</v>
      </c>
      <c r="F407" s="26" t="s">
        <v>55</v>
      </c>
      <c r="G407" s="44" t="s">
        <v>57</v>
      </c>
      <c r="H407" s="26" t="s">
        <v>57</v>
      </c>
      <c r="I407" s="44" t="s">
        <v>153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43">
        <v>46196</v>
      </c>
      <c r="O407" s="26" t="s">
        <v>55</v>
      </c>
      <c r="P407" s="44" t="s">
        <v>57</v>
      </c>
      <c r="Q407" s="26" t="s">
        <v>57</v>
      </c>
      <c r="R407" s="44" t="s">
        <v>153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5426</v>
      </c>
      <c r="C408" s="41" t="s">
        <v>5427</v>
      </c>
      <c r="D408" s="39" t="s">
        <v>5391</v>
      </c>
      <c r="E408" s="43">
        <v>46125</v>
      </c>
      <c r="F408" s="26" t="s">
        <v>55</v>
      </c>
      <c r="G408" s="44" t="s">
        <v>57</v>
      </c>
      <c r="H408" s="26" t="s">
        <v>57</v>
      </c>
      <c r="I408" s="44" t="s">
        <v>153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43">
        <v>46196</v>
      </c>
      <c r="O408" s="26" t="s">
        <v>55</v>
      </c>
      <c r="P408" s="44" t="s">
        <v>57</v>
      </c>
      <c r="Q408" s="26" t="s">
        <v>57</v>
      </c>
      <c r="R408" s="44" t="s">
        <v>153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5428</v>
      </c>
      <c r="C409" s="25" t="s">
        <v>5429</v>
      </c>
      <c r="D409" s="23" t="s">
        <v>5391</v>
      </c>
      <c r="E409" s="43">
        <v>46125</v>
      </c>
      <c r="F409" s="26" t="s">
        <v>55</v>
      </c>
      <c r="G409" s="44" t="s">
        <v>57</v>
      </c>
      <c r="H409" s="26" t="s">
        <v>57</v>
      </c>
      <c r="I409" s="44" t="s">
        <v>153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43">
        <v>46196</v>
      </c>
      <c r="O409" s="26" t="s">
        <v>55</v>
      </c>
      <c r="P409" s="44" t="s">
        <v>57</v>
      </c>
      <c r="Q409" s="26" t="s">
        <v>57</v>
      </c>
      <c r="R409" s="44" t="s">
        <v>153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5430</v>
      </c>
      <c r="C410" s="41" t="s">
        <v>5431</v>
      </c>
      <c r="D410" s="39" t="s">
        <v>5391</v>
      </c>
      <c r="E410" s="43">
        <v>46125</v>
      </c>
      <c r="F410" s="26" t="s">
        <v>55</v>
      </c>
      <c r="G410" s="44" t="s">
        <v>57</v>
      </c>
      <c r="H410" s="26" t="s">
        <v>57</v>
      </c>
      <c r="I410" s="44" t="s">
        <v>153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43">
        <v>46196</v>
      </c>
      <c r="O410" s="26" t="s">
        <v>55</v>
      </c>
      <c r="P410" s="44" t="s">
        <v>57</v>
      </c>
      <c r="Q410" s="26" t="s">
        <v>57</v>
      </c>
      <c r="R410" s="44" t="s">
        <v>153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5432</v>
      </c>
      <c r="C411" s="25" t="s">
        <v>5433</v>
      </c>
      <c r="D411" s="23" t="s">
        <v>5391</v>
      </c>
      <c r="E411" s="43">
        <v>46125</v>
      </c>
      <c r="F411" s="26" t="s">
        <v>55</v>
      </c>
      <c r="G411" s="44" t="s">
        <v>57</v>
      </c>
      <c r="H411" s="26" t="s">
        <v>57</v>
      </c>
      <c r="I411" s="44" t="s">
        <v>153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43">
        <v>46196</v>
      </c>
      <c r="O411" s="26" t="s">
        <v>55</v>
      </c>
      <c r="P411" s="44" t="s">
        <v>57</v>
      </c>
      <c r="Q411" s="26" t="s">
        <v>57</v>
      </c>
      <c r="R411" s="44" t="s">
        <v>153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5434</v>
      </c>
      <c r="C412" s="41" t="s">
        <v>5435</v>
      </c>
      <c r="D412" s="39" t="s">
        <v>5391</v>
      </c>
      <c r="E412" s="43">
        <v>46125</v>
      </c>
      <c r="F412" s="26" t="s">
        <v>55</v>
      </c>
      <c r="G412" s="44" t="s">
        <v>57</v>
      </c>
      <c r="H412" s="26" t="s">
        <v>57</v>
      </c>
      <c r="I412" s="44" t="s">
        <v>153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43">
        <v>46196</v>
      </c>
      <c r="O412" s="26" t="s">
        <v>55</v>
      </c>
      <c r="P412" s="44" t="s">
        <v>57</v>
      </c>
      <c r="Q412" s="26" t="s">
        <v>57</v>
      </c>
      <c r="R412" s="44" t="s">
        <v>153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5436</v>
      </c>
      <c r="C413" s="25" t="s">
        <v>5437</v>
      </c>
      <c r="D413" s="23" t="s">
        <v>5391</v>
      </c>
      <c r="E413" s="43">
        <v>46125</v>
      </c>
      <c r="F413" s="26" t="s">
        <v>55</v>
      </c>
      <c r="G413" s="44" t="s">
        <v>57</v>
      </c>
      <c r="H413" s="26" t="s">
        <v>57</v>
      </c>
      <c r="I413" s="44" t="s">
        <v>153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43">
        <v>46196</v>
      </c>
      <c r="O413" s="26" t="s">
        <v>55</v>
      </c>
      <c r="P413" s="44" t="s">
        <v>57</v>
      </c>
      <c r="Q413" s="26" t="s">
        <v>57</v>
      </c>
      <c r="R413" s="44" t="s">
        <v>153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5438</v>
      </c>
      <c r="C414" s="41" t="s">
        <v>5439</v>
      </c>
      <c r="D414" s="39" t="s">
        <v>5391</v>
      </c>
      <c r="E414" s="43">
        <v>46125</v>
      </c>
      <c r="F414" s="26" t="s">
        <v>55</v>
      </c>
      <c r="G414" s="44" t="s">
        <v>57</v>
      </c>
      <c r="H414" s="26" t="s">
        <v>57</v>
      </c>
      <c r="I414" s="44" t="s">
        <v>153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43">
        <v>46196</v>
      </c>
      <c r="O414" s="26" t="s">
        <v>55</v>
      </c>
      <c r="P414" s="44" t="s">
        <v>57</v>
      </c>
      <c r="Q414" s="26" t="s">
        <v>57</v>
      </c>
      <c r="R414" s="44" t="s">
        <v>153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5440</v>
      </c>
      <c r="C415" s="25" t="s">
        <v>5441</v>
      </c>
      <c r="D415" s="23" t="s">
        <v>5391</v>
      </c>
      <c r="E415" s="43">
        <v>46125</v>
      </c>
      <c r="F415" s="26" t="s">
        <v>55</v>
      </c>
      <c r="G415" s="44" t="s">
        <v>57</v>
      </c>
      <c r="H415" s="26" t="s">
        <v>57</v>
      </c>
      <c r="I415" s="44" t="s">
        <v>153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43">
        <v>46196</v>
      </c>
      <c r="O415" s="26" t="s">
        <v>55</v>
      </c>
      <c r="P415" s="44" t="s">
        <v>57</v>
      </c>
      <c r="Q415" s="26" t="s">
        <v>57</v>
      </c>
      <c r="R415" s="44" t="s">
        <v>153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5442</v>
      </c>
      <c r="C416" s="41" t="s">
        <v>5443</v>
      </c>
      <c r="D416" s="39" t="s">
        <v>5391</v>
      </c>
      <c r="E416" s="43">
        <v>46125</v>
      </c>
      <c r="F416" s="26" t="s">
        <v>55</v>
      </c>
      <c r="G416" s="44" t="s">
        <v>57</v>
      </c>
      <c r="H416" s="26" t="s">
        <v>57</v>
      </c>
      <c r="I416" s="44" t="s">
        <v>153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43">
        <v>46196</v>
      </c>
      <c r="O416" s="26" t="s">
        <v>55</v>
      </c>
      <c r="P416" s="44" t="s">
        <v>57</v>
      </c>
      <c r="Q416" s="26" t="s">
        <v>57</v>
      </c>
      <c r="R416" s="44" t="s">
        <v>153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5444</v>
      </c>
      <c r="C417" s="25" t="s">
        <v>5445</v>
      </c>
      <c r="D417" s="23" t="s">
        <v>5391</v>
      </c>
      <c r="E417" s="43">
        <v>46125</v>
      </c>
      <c r="F417" s="26" t="s">
        <v>55</v>
      </c>
      <c r="G417" s="44" t="s">
        <v>57</v>
      </c>
      <c r="H417" s="26" t="s">
        <v>57</v>
      </c>
      <c r="I417" s="44" t="s">
        <v>153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43">
        <v>46196</v>
      </c>
      <c r="O417" s="26" t="s">
        <v>55</v>
      </c>
      <c r="P417" s="44" t="s">
        <v>57</v>
      </c>
      <c r="Q417" s="26" t="s">
        <v>57</v>
      </c>
      <c r="R417" s="44" t="s">
        <v>153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5446</v>
      </c>
      <c r="C418" s="41" t="s">
        <v>5447</v>
      </c>
      <c r="D418" s="39" t="s">
        <v>5391</v>
      </c>
      <c r="E418" s="43">
        <v>46125</v>
      </c>
      <c r="F418" s="26" t="s">
        <v>55</v>
      </c>
      <c r="G418" s="44" t="s">
        <v>57</v>
      </c>
      <c r="H418" s="26" t="s">
        <v>57</v>
      </c>
      <c r="I418" s="44" t="s">
        <v>153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43">
        <v>46196</v>
      </c>
      <c r="O418" s="26" t="s">
        <v>55</v>
      </c>
      <c r="P418" s="44" t="s">
        <v>57</v>
      </c>
      <c r="Q418" s="26" t="s">
        <v>57</v>
      </c>
      <c r="R418" s="44" t="s">
        <v>153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5448</v>
      </c>
      <c r="C419" s="25" t="s">
        <v>5449</v>
      </c>
      <c r="D419" s="23" t="s">
        <v>5391</v>
      </c>
      <c r="E419" s="43">
        <v>46125</v>
      </c>
      <c r="F419" s="26" t="s">
        <v>55</v>
      </c>
      <c r="G419" s="44" t="s">
        <v>57</v>
      </c>
      <c r="H419" s="26" t="s">
        <v>57</v>
      </c>
      <c r="I419" s="44" t="s">
        <v>153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43">
        <v>46196</v>
      </c>
      <c r="O419" s="26" t="s">
        <v>55</v>
      </c>
      <c r="P419" s="44" t="s">
        <v>57</v>
      </c>
      <c r="Q419" s="26" t="s">
        <v>57</v>
      </c>
      <c r="R419" s="44" t="s">
        <v>153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5450</v>
      </c>
      <c r="C420" s="41" t="s">
        <v>5451</v>
      </c>
      <c r="D420" s="39" t="s">
        <v>5391</v>
      </c>
      <c r="E420" s="43">
        <v>46125</v>
      </c>
      <c r="F420" s="26" t="s">
        <v>55</v>
      </c>
      <c r="G420" s="44" t="s">
        <v>57</v>
      </c>
      <c r="H420" s="26" t="s">
        <v>57</v>
      </c>
      <c r="I420" s="44" t="s">
        <v>153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43">
        <v>46196</v>
      </c>
      <c r="O420" s="26" t="s">
        <v>55</v>
      </c>
      <c r="P420" s="44" t="s">
        <v>57</v>
      </c>
      <c r="Q420" s="26" t="s">
        <v>57</v>
      </c>
      <c r="R420" s="44" t="s">
        <v>153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5452</v>
      </c>
      <c r="C421" s="25" t="s">
        <v>5453</v>
      </c>
      <c r="D421" s="23" t="s">
        <v>686</v>
      </c>
      <c r="E421" s="43">
        <v>46125</v>
      </c>
      <c r="F421" s="26" t="s">
        <v>55</v>
      </c>
      <c r="G421" s="44" t="s">
        <v>56</v>
      </c>
      <c r="H421" s="26" t="s">
        <v>57</v>
      </c>
      <c r="I421" s="44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43">
        <v>46196</v>
      </c>
      <c r="O421" s="26" t="s">
        <v>55</v>
      </c>
      <c r="P421" s="44" t="s">
        <v>56</v>
      </c>
      <c r="Q421" s="26" t="s">
        <v>57</v>
      </c>
      <c r="R421" s="44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5454</v>
      </c>
      <c r="C422" s="41" t="s">
        <v>5455</v>
      </c>
      <c r="D422" s="39" t="s">
        <v>686</v>
      </c>
      <c r="E422" s="43">
        <v>46125</v>
      </c>
      <c r="F422" s="26" t="s">
        <v>55</v>
      </c>
      <c r="G422" s="44" t="s">
        <v>56</v>
      </c>
      <c r="H422" s="26" t="s">
        <v>57</v>
      </c>
      <c r="I422" s="44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43">
        <v>46196</v>
      </c>
      <c r="O422" s="26" t="s">
        <v>55</v>
      </c>
      <c r="P422" s="44" t="s">
        <v>56</v>
      </c>
      <c r="Q422" s="26" t="s">
        <v>57</v>
      </c>
      <c r="R422" s="44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5456</v>
      </c>
      <c r="C423" s="25" t="s">
        <v>5457</v>
      </c>
      <c r="D423" s="23" t="s">
        <v>686</v>
      </c>
      <c r="E423" s="43">
        <v>46125</v>
      </c>
      <c r="F423" s="26" t="s">
        <v>55</v>
      </c>
      <c r="G423" s="44" t="s">
        <v>56</v>
      </c>
      <c r="H423" s="26" t="s">
        <v>57</v>
      </c>
      <c r="I423" s="44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43">
        <v>46196</v>
      </c>
      <c r="O423" s="26" t="s">
        <v>55</v>
      </c>
      <c r="P423" s="44" t="s">
        <v>56</v>
      </c>
      <c r="Q423" s="26" t="s">
        <v>57</v>
      </c>
      <c r="R423" s="44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5458</v>
      </c>
      <c r="C424" s="41" t="s">
        <v>5459</v>
      </c>
      <c r="D424" s="39" t="s">
        <v>686</v>
      </c>
      <c r="E424" s="43">
        <v>46125</v>
      </c>
      <c r="F424" s="26" t="s">
        <v>55</v>
      </c>
      <c r="G424" s="44" t="s">
        <v>56</v>
      </c>
      <c r="H424" s="26" t="s">
        <v>57</v>
      </c>
      <c r="I424" s="44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43">
        <v>46196</v>
      </c>
      <c r="O424" s="26" t="s">
        <v>55</v>
      </c>
      <c r="P424" s="44" t="s">
        <v>56</v>
      </c>
      <c r="Q424" s="26" t="s">
        <v>57</v>
      </c>
      <c r="R424" s="44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5460</v>
      </c>
      <c r="C425" s="25" t="s">
        <v>5461</v>
      </c>
      <c r="D425" s="23" t="s">
        <v>686</v>
      </c>
      <c r="E425" s="43">
        <v>46125</v>
      </c>
      <c r="F425" s="26" t="s">
        <v>55</v>
      </c>
      <c r="G425" s="44" t="s">
        <v>770</v>
      </c>
      <c r="H425" s="26" t="s">
        <v>57</v>
      </c>
      <c r="I425" s="44" t="s">
        <v>770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43">
        <v>46196</v>
      </c>
      <c r="O425" s="26" t="s">
        <v>55</v>
      </c>
      <c r="P425" s="44" t="s">
        <v>770</v>
      </c>
      <c r="Q425" s="26" t="s">
        <v>57</v>
      </c>
      <c r="R425" s="44" t="s">
        <v>770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5462</v>
      </c>
      <c r="C426" s="41" t="s">
        <v>5463</v>
      </c>
      <c r="D426" s="39" t="s">
        <v>686</v>
      </c>
      <c r="E426" s="43">
        <v>46125</v>
      </c>
      <c r="F426" s="26" t="s">
        <v>55</v>
      </c>
      <c r="G426" s="44" t="s">
        <v>770</v>
      </c>
      <c r="H426" s="26" t="s">
        <v>57</v>
      </c>
      <c r="I426" s="44" t="s">
        <v>770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43">
        <v>46196</v>
      </c>
      <c r="O426" s="26" t="s">
        <v>55</v>
      </c>
      <c r="P426" s="44" t="s">
        <v>770</v>
      </c>
      <c r="Q426" s="26" t="s">
        <v>57</v>
      </c>
      <c r="R426" s="44" t="s">
        <v>770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5464</v>
      </c>
      <c r="C427" s="25" t="s">
        <v>5465</v>
      </c>
      <c r="D427" s="23" t="s">
        <v>686</v>
      </c>
      <c r="E427" s="43">
        <v>46125</v>
      </c>
      <c r="F427" s="26" t="s">
        <v>55</v>
      </c>
      <c r="G427" s="44" t="s">
        <v>770</v>
      </c>
      <c r="H427" s="26" t="s">
        <v>57</v>
      </c>
      <c r="I427" s="44" t="s">
        <v>770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43">
        <v>46196</v>
      </c>
      <c r="O427" s="26" t="s">
        <v>55</v>
      </c>
      <c r="P427" s="44" t="s">
        <v>770</v>
      </c>
      <c r="Q427" s="26" t="s">
        <v>57</v>
      </c>
      <c r="R427" s="44" t="s">
        <v>770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5466</v>
      </c>
      <c r="C428" s="41" t="s">
        <v>5467</v>
      </c>
      <c r="D428" s="39" t="s">
        <v>686</v>
      </c>
      <c r="E428" s="43">
        <v>46125</v>
      </c>
      <c r="F428" s="26" t="s">
        <v>55</v>
      </c>
      <c r="G428" s="44" t="s">
        <v>770</v>
      </c>
      <c r="H428" s="26" t="s">
        <v>57</v>
      </c>
      <c r="I428" s="44" t="s">
        <v>770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43">
        <v>46196</v>
      </c>
      <c r="O428" s="26" t="s">
        <v>55</v>
      </c>
      <c r="P428" s="44" t="s">
        <v>770</v>
      </c>
      <c r="Q428" s="26" t="s">
        <v>57</v>
      </c>
      <c r="R428" s="44" t="s">
        <v>770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5468</v>
      </c>
      <c r="C429" s="25" t="s">
        <v>5469</v>
      </c>
      <c r="D429" s="23" t="s">
        <v>686</v>
      </c>
      <c r="E429" s="43">
        <v>46125</v>
      </c>
      <c r="F429" s="26" t="s">
        <v>55</v>
      </c>
      <c r="G429" s="44" t="s">
        <v>770</v>
      </c>
      <c r="H429" s="26" t="s">
        <v>57</v>
      </c>
      <c r="I429" s="44" t="s">
        <v>770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43">
        <v>46196</v>
      </c>
      <c r="O429" s="26" t="s">
        <v>55</v>
      </c>
      <c r="P429" s="44" t="s">
        <v>770</v>
      </c>
      <c r="Q429" s="26" t="s">
        <v>57</v>
      </c>
      <c r="R429" s="44" t="s">
        <v>770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5470</v>
      </c>
      <c r="C430" s="41" t="s">
        <v>5471</v>
      </c>
      <c r="D430" s="39" t="s">
        <v>686</v>
      </c>
      <c r="E430" s="43">
        <v>46125</v>
      </c>
      <c r="F430" s="26" t="s">
        <v>55</v>
      </c>
      <c r="G430" s="44" t="s">
        <v>56</v>
      </c>
      <c r="H430" s="26" t="s">
        <v>57</v>
      </c>
      <c r="I430" s="44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43">
        <v>46196</v>
      </c>
      <c r="O430" s="26" t="s">
        <v>55</v>
      </c>
      <c r="P430" s="44" t="s">
        <v>56</v>
      </c>
      <c r="Q430" s="26" t="s">
        <v>57</v>
      </c>
      <c r="R430" s="44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5472</v>
      </c>
      <c r="C431" s="25" t="s">
        <v>5473</v>
      </c>
      <c r="D431" s="23" t="s">
        <v>686</v>
      </c>
      <c r="E431" s="43">
        <v>46125</v>
      </c>
      <c r="F431" s="26" t="s">
        <v>55</v>
      </c>
      <c r="G431" s="44" t="s">
        <v>770</v>
      </c>
      <c r="H431" s="26" t="s">
        <v>57</v>
      </c>
      <c r="I431" s="44" t="s">
        <v>770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43">
        <v>46196</v>
      </c>
      <c r="O431" s="26" t="s">
        <v>55</v>
      </c>
      <c r="P431" s="44" t="s">
        <v>770</v>
      </c>
      <c r="Q431" s="26" t="s">
        <v>57</v>
      </c>
      <c r="R431" s="44" t="s">
        <v>770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5474</v>
      </c>
      <c r="C432" s="41" t="s">
        <v>5475</v>
      </c>
      <c r="D432" s="39" t="s">
        <v>686</v>
      </c>
      <c r="E432" s="43">
        <v>46125</v>
      </c>
      <c r="F432" s="26" t="s">
        <v>55</v>
      </c>
      <c r="G432" s="44" t="s">
        <v>770</v>
      </c>
      <c r="H432" s="26" t="s">
        <v>57</v>
      </c>
      <c r="I432" s="44" t="s">
        <v>770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43">
        <v>46196</v>
      </c>
      <c r="O432" s="26" t="s">
        <v>55</v>
      </c>
      <c r="P432" s="44" t="s">
        <v>770</v>
      </c>
      <c r="Q432" s="26" t="s">
        <v>57</v>
      </c>
      <c r="R432" s="44" t="s">
        <v>770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5476</v>
      </c>
      <c r="C433" s="25" t="s">
        <v>5477</v>
      </c>
      <c r="D433" s="23" t="s">
        <v>686</v>
      </c>
      <c r="E433" s="43">
        <v>46125</v>
      </c>
      <c r="F433" s="26" t="s">
        <v>55</v>
      </c>
      <c r="G433" s="44" t="s">
        <v>770</v>
      </c>
      <c r="H433" s="26" t="s">
        <v>57</v>
      </c>
      <c r="I433" s="44" t="s">
        <v>770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43">
        <v>46196</v>
      </c>
      <c r="O433" s="26" t="s">
        <v>55</v>
      </c>
      <c r="P433" s="44" t="s">
        <v>770</v>
      </c>
      <c r="Q433" s="26" t="s">
        <v>57</v>
      </c>
      <c r="R433" s="44" t="s">
        <v>770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5478</v>
      </c>
      <c r="C434" s="41" t="s">
        <v>5479</v>
      </c>
      <c r="D434" s="39" t="s">
        <v>686</v>
      </c>
      <c r="E434" s="43">
        <v>46125</v>
      </c>
      <c r="F434" s="26" t="s">
        <v>55</v>
      </c>
      <c r="G434" s="44" t="s">
        <v>770</v>
      </c>
      <c r="H434" s="26" t="s">
        <v>57</v>
      </c>
      <c r="I434" s="44" t="s">
        <v>770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43">
        <v>46196</v>
      </c>
      <c r="O434" s="26" t="s">
        <v>55</v>
      </c>
      <c r="P434" s="44" t="s">
        <v>770</v>
      </c>
      <c r="Q434" s="26" t="s">
        <v>57</v>
      </c>
      <c r="R434" s="44" t="s">
        <v>770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5480</v>
      </c>
      <c r="C435" s="25" t="s">
        <v>5481</v>
      </c>
      <c r="D435" s="23" t="s">
        <v>686</v>
      </c>
      <c r="E435" s="43">
        <v>46125</v>
      </c>
      <c r="F435" s="26" t="s">
        <v>55</v>
      </c>
      <c r="G435" s="44" t="s">
        <v>770</v>
      </c>
      <c r="H435" s="26" t="s">
        <v>57</v>
      </c>
      <c r="I435" s="44" t="s">
        <v>770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43">
        <v>46196</v>
      </c>
      <c r="O435" s="26" t="s">
        <v>55</v>
      </c>
      <c r="P435" s="44" t="s">
        <v>770</v>
      </c>
      <c r="Q435" s="26" t="s">
        <v>57</v>
      </c>
      <c r="R435" s="44" t="s">
        <v>770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5482</v>
      </c>
      <c r="C436" s="41" t="s">
        <v>5483</v>
      </c>
      <c r="D436" s="39" t="s">
        <v>686</v>
      </c>
      <c r="E436" s="43">
        <v>46125</v>
      </c>
      <c r="F436" s="26" t="s">
        <v>55</v>
      </c>
      <c r="G436" s="44" t="s">
        <v>770</v>
      </c>
      <c r="H436" s="26" t="s">
        <v>57</v>
      </c>
      <c r="I436" s="44" t="s">
        <v>770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43">
        <v>46196</v>
      </c>
      <c r="O436" s="26" t="s">
        <v>55</v>
      </c>
      <c r="P436" s="44" t="s">
        <v>770</v>
      </c>
      <c r="Q436" s="26" t="s">
        <v>57</v>
      </c>
      <c r="R436" s="44" t="s">
        <v>770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5484</v>
      </c>
      <c r="C437" s="25" t="s">
        <v>5485</v>
      </c>
      <c r="D437" s="23" t="s">
        <v>686</v>
      </c>
      <c r="E437" s="43">
        <v>46125</v>
      </c>
      <c r="F437" s="26" t="s">
        <v>55</v>
      </c>
      <c r="G437" s="44" t="s">
        <v>770</v>
      </c>
      <c r="H437" s="26" t="s">
        <v>57</v>
      </c>
      <c r="I437" s="44" t="s">
        <v>770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43">
        <v>46196</v>
      </c>
      <c r="O437" s="26" t="s">
        <v>55</v>
      </c>
      <c r="P437" s="44" t="s">
        <v>770</v>
      </c>
      <c r="Q437" s="26" t="s">
        <v>57</v>
      </c>
      <c r="R437" s="44" t="s">
        <v>770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5486</v>
      </c>
      <c r="C438" s="41" t="s">
        <v>5487</v>
      </c>
      <c r="D438" s="39" t="s">
        <v>686</v>
      </c>
      <c r="E438" s="43">
        <v>46125</v>
      </c>
      <c r="F438" s="26" t="s">
        <v>55</v>
      </c>
      <c r="G438" s="44" t="s">
        <v>56</v>
      </c>
      <c r="H438" s="26" t="s">
        <v>57</v>
      </c>
      <c r="I438" s="44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43">
        <v>46196</v>
      </c>
      <c r="O438" s="26" t="s">
        <v>55</v>
      </c>
      <c r="P438" s="44" t="s">
        <v>56</v>
      </c>
      <c r="Q438" s="26" t="s">
        <v>57</v>
      </c>
      <c r="R438" s="44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5488</v>
      </c>
      <c r="C439" s="25" t="s">
        <v>5489</v>
      </c>
      <c r="D439" s="23" t="s">
        <v>686</v>
      </c>
      <c r="E439" s="43">
        <v>46125</v>
      </c>
      <c r="F439" s="26" t="s">
        <v>55</v>
      </c>
      <c r="G439" s="44" t="s">
        <v>770</v>
      </c>
      <c r="H439" s="26" t="s">
        <v>57</v>
      </c>
      <c r="I439" s="44" t="s">
        <v>770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43">
        <v>46196</v>
      </c>
      <c r="O439" s="26" t="s">
        <v>55</v>
      </c>
      <c r="P439" s="44" t="s">
        <v>770</v>
      </c>
      <c r="Q439" s="26" t="s">
        <v>57</v>
      </c>
      <c r="R439" s="44" t="s">
        <v>770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5490</v>
      </c>
      <c r="C440" s="41" t="s">
        <v>5491</v>
      </c>
      <c r="D440" s="39" t="s">
        <v>686</v>
      </c>
      <c r="E440" s="43">
        <v>46125</v>
      </c>
      <c r="F440" s="26" t="s">
        <v>55</v>
      </c>
      <c r="G440" s="44" t="s">
        <v>770</v>
      </c>
      <c r="H440" s="26" t="s">
        <v>57</v>
      </c>
      <c r="I440" s="44" t="s">
        <v>770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43">
        <v>46196</v>
      </c>
      <c r="O440" s="26" t="s">
        <v>55</v>
      </c>
      <c r="P440" s="44" t="s">
        <v>770</v>
      </c>
      <c r="Q440" s="26" t="s">
        <v>57</v>
      </c>
      <c r="R440" s="44" t="s">
        <v>770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5492</v>
      </c>
      <c r="C441" s="25" t="s">
        <v>5493</v>
      </c>
      <c r="D441" s="23" t="s">
        <v>686</v>
      </c>
      <c r="E441" s="43">
        <v>46125</v>
      </c>
      <c r="F441" s="26" t="s">
        <v>55</v>
      </c>
      <c r="G441" s="44" t="s">
        <v>770</v>
      </c>
      <c r="H441" s="26" t="s">
        <v>57</v>
      </c>
      <c r="I441" s="44" t="s">
        <v>770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43">
        <v>46196</v>
      </c>
      <c r="O441" s="26" t="s">
        <v>55</v>
      </c>
      <c r="P441" s="44" t="s">
        <v>770</v>
      </c>
      <c r="Q441" s="26" t="s">
        <v>57</v>
      </c>
      <c r="R441" s="44" t="s">
        <v>770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5494</v>
      </c>
      <c r="C442" s="41" t="s">
        <v>5495</v>
      </c>
      <c r="D442" s="39" t="s">
        <v>686</v>
      </c>
      <c r="E442" s="43">
        <v>46125</v>
      </c>
      <c r="F442" s="26" t="s">
        <v>55</v>
      </c>
      <c r="G442" s="44" t="s">
        <v>770</v>
      </c>
      <c r="H442" s="26" t="s">
        <v>57</v>
      </c>
      <c r="I442" s="44" t="s">
        <v>770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43">
        <v>46196</v>
      </c>
      <c r="O442" s="26" t="s">
        <v>55</v>
      </c>
      <c r="P442" s="44" t="s">
        <v>770</v>
      </c>
      <c r="Q442" s="26" t="s">
        <v>57</v>
      </c>
      <c r="R442" s="44" t="s">
        <v>770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5496</v>
      </c>
      <c r="C443" s="25" t="s">
        <v>5497</v>
      </c>
      <c r="D443" s="23" t="s">
        <v>686</v>
      </c>
      <c r="E443" s="43">
        <v>46125</v>
      </c>
      <c r="F443" s="26" t="s">
        <v>55</v>
      </c>
      <c r="G443" s="44" t="s">
        <v>770</v>
      </c>
      <c r="H443" s="26" t="s">
        <v>57</v>
      </c>
      <c r="I443" s="44" t="s">
        <v>770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43">
        <v>46196</v>
      </c>
      <c r="O443" s="26" t="s">
        <v>55</v>
      </c>
      <c r="P443" s="44" t="s">
        <v>770</v>
      </c>
      <c r="Q443" s="26" t="s">
        <v>57</v>
      </c>
      <c r="R443" s="44" t="s">
        <v>770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5498</v>
      </c>
      <c r="C444" s="41" t="s">
        <v>5499</v>
      </c>
      <c r="D444" s="39" t="s">
        <v>686</v>
      </c>
      <c r="E444" s="43">
        <v>46125</v>
      </c>
      <c r="F444" s="26" t="s">
        <v>55</v>
      </c>
      <c r="G444" s="44" t="s">
        <v>56</v>
      </c>
      <c r="H444" s="26" t="s">
        <v>57</v>
      </c>
      <c r="I444" s="44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43">
        <v>46196</v>
      </c>
      <c r="O444" s="26" t="s">
        <v>55</v>
      </c>
      <c r="P444" s="44" t="s">
        <v>56</v>
      </c>
      <c r="Q444" s="26" t="s">
        <v>57</v>
      </c>
      <c r="R444" s="44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5500</v>
      </c>
      <c r="C445" s="25" t="s">
        <v>5501</v>
      </c>
      <c r="D445" s="23" t="s">
        <v>686</v>
      </c>
      <c r="E445" s="43">
        <v>46125</v>
      </c>
      <c r="F445" s="26" t="s">
        <v>55</v>
      </c>
      <c r="G445" s="44" t="s">
        <v>770</v>
      </c>
      <c r="H445" s="26" t="s">
        <v>57</v>
      </c>
      <c r="I445" s="44" t="s">
        <v>770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43">
        <v>46196</v>
      </c>
      <c r="O445" s="26" t="s">
        <v>55</v>
      </c>
      <c r="P445" s="44" t="s">
        <v>770</v>
      </c>
      <c r="Q445" s="26" t="s">
        <v>57</v>
      </c>
      <c r="R445" s="44" t="s">
        <v>770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5502</v>
      </c>
      <c r="C446" s="41" t="s">
        <v>5503</v>
      </c>
      <c r="D446" s="39" t="s">
        <v>686</v>
      </c>
      <c r="E446" s="43">
        <v>46125</v>
      </c>
      <c r="F446" s="26" t="s">
        <v>55</v>
      </c>
      <c r="G446" s="44" t="s">
        <v>770</v>
      </c>
      <c r="H446" s="26" t="s">
        <v>57</v>
      </c>
      <c r="I446" s="44" t="s">
        <v>770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43">
        <v>46196</v>
      </c>
      <c r="O446" s="26" t="s">
        <v>55</v>
      </c>
      <c r="P446" s="44" t="s">
        <v>770</v>
      </c>
      <c r="Q446" s="26" t="s">
        <v>57</v>
      </c>
      <c r="R446" s="44" t="s">
        <v>770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5504</v>
      </c>
      <c r="C447" s="25" t="s">
        <v>5505</v>
      </c>
      <c r="D447" s="23" t="s">
        <v>686</v>
      </c>
      <c r="E447" s="43">
        <v>46125</v>
      </c>
      <c r="F447" s="26" t="s">
        <v>55</v>
      </c>
      <c r="G447" s="44" t="s">
        <v>770</v>
      </c>
      <c r="H447" s="26" t="s">
        <v>57</v>
      </c>
      <c r="I447" s="44" t="s">
        <v>770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43">
        <v>46196</v>
      </c>
      <c r="O447" s="26" t="s">
        <v>55</v>
      </c>
      <c r="P447" s="44" t="s">
        <v>770</v>
      </c>
      <c r="Q447" s="26" t="s">
        <v>57</v>
      </c>
      <c r="R447" s="44" t="s">
        <v>770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5506</v>
      </c>
      <c r="C448" s="41" t="s">
        <v>5507</v>
      </c>
      <c r="D448" s="39" t="s">
        <v>686</v>
      </c>
      <c r="E448" s="43">
        <v>46125</v>
      </c>
      <c r="F448" s="26" t="s">
        <v>55</v>
      </c>
      <c r="G448" s="44" t="s">
        <v>770</v>
      </c>
      <c r="H448" s="26" t="s">
        <v>57</v>
      </c>
      <c r="I448" s="44" t="s">
        <v>770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43">
        <v>46196</v>
      </c>
      <c r="O448" s="26" t="s">
        <v>55</v>
      </c>
      <c r="P448" s="44" t="s">
        <v>770</v>
      </c>
      <c r="Q448" s="26" t="s">
        <v>57</v>
      </c>
      <c r="R448" s="44" t="s">
        <v>770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5508</v>
      </c>
      <c r="C449" s="25" t="s">
        <v>5509</v>
      </c>
      <c r="D449" s="23" t="s">
        <v>686</v>
      </c>
      <c r="E449" s="43">
        <v>46125</v>
      </c>
      <c r="F449" s="26" t="s">
        <v>55</v>
      </c>
      <c r="G449" s="44" t="s">
        <v>770</v>
      </c>
      <c r="H449" s="26" t="s">
        <v>57</v>
      </c>
      <c r="I449" s="44" t="s">
        <v>770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43">
        <v>46196</v>
      </c>
      <c r="O449" s="26" t="s">
        <v>55</v>
      </c>
      <c r="P449" s="44" t="s">
        <v>770</v>
      </c>
      <c r="Q449" s="26" t="s">
        <v>57</v>
      </c>
      <c r="R449" s="44" t="s">
        <v>770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5510</v>
      </c>
      <c r="C450" s="41" t="s">
        <v>5511</v>
      </c>
      <c r="D450" s="39" t="s">
        <v>686</v>
      </c>
      <c r="E450" s="43">
        <v>46125</v>
      </c>
      <c r="F450" s="26" t="s">
        <v>55</v>
      </c>
      <c r="G450" s="44" t="s">
        <v>770</v>
      </c>
      <c r="H450" s="26" t="s">
        <v>57</v>
      </c>
      <c r="I450" s="44" t="s">
        <v>770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43">
        <v>46196</v>
      </c>
      <c r="O450" s="26" t="s">
        <v>55</v>
      </c>
      <c r="P450" s="44" t="s">
        <v>770</v>
      </c>
      <c r="Q450" s="26" t="s">
        <v>57</v>
      </c>
      <c r="R450" s="44" t="s">
        <v>770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5512</v>
      </c>
      <c r="C451" s="25" t="s">
        <v>5513</v>
      </c>
      <c r="D451" s="23" t="s">
        <v>686</v>
      </c>
      <c r="E451" s="43">
        <v>46125</v>
      </c>
      <c r="F451" s="26" t="s">
        <v>55</v>
      </c>
      <c r="G451" s="44" t="s">
        <v>770</v>
      </c>
      <c r="H451" s="26" t="s">
        <v>57</v>
      </c>
      <c r="I451" s="44" t="s">
        <v>770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43">
        <v>46196</v>
      </c>
      <c r="O451" s="26" t="s">
        <v>55</v>
      </c>
      <c r="P451" s="44" t="s">
        <v>770</v>
      </c>
      <c r="Q451" s="26" t="s">
        <v>57</v>
      </c>
      <c r="R451" s="44" t="s">
        <v>770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5514</v>
      </c>
      <c r="C452" s="41" t="s">
        <v>5515</v>
      </c>
      <c r="D452" s="39" t="s">
        <v>5516</v>
      </c>
      <c r="E452" s="43">
        <v>46125</v>
      </c>
      <c r="F452" s="26" t="s">
        <v>55</v>
      </c>
      <c r="G452" s="44" t="s">
        <v>57</v>
      </c>
      <c r="H452" s="26" t="s">
        <v>57</v>
      </c>
      <c r="I452" s="44" t="s">
        <v>153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43">
        <v>46196</v>
      </c>
      <c r="O452" s="26" t="s">
        <v>55</v>
      </c>
      <c r="P452" s="44" t="s">
        <v>57</v>
      </c>
      <c r="Q452" s="26" t="s">
        <v>57</v>
      </c>
      <c r="R452" s="44" t="s">
        <v>153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5517</v>
      </c>
      <c r="C453" s="25" t="s">
        <v>5518</v>
      </c>
      <c r="D453" s="23" t="s">
        <v>5516</v>
      </c>
      <c r="E453" s="43">
        <v>46125</v>
      </c>
      <c r="F453" s="26" t="s">
        <v>55</v>
      </c>
      <c r="G453" s="44" t="s">
        <v>57</v>
      </c>
      <c r="H453" s="26" t="s">
        <v>57</v>
      </c>
      <c r="I453" s="44" t="s">
        <v>153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3">
        <v>46196</v>
      </c>
      <c r="O453" s="26" t="s">
        <v>55</v>
      </c>
      <c r="P453" s="44" t="s">
        <v>57</v>
      </c>
      <c r="Q453" s="26" t="s">
        <v>57</v>
      </c>
      <c r="R453" s="44" t="s">
        <v>153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5519</v>
      </c>
      <c r="C454" s="41" t="s">
        <v>5520</v>
      </c>
      <c r="D454" s="39" t="s">
        <v>5516</v>
      </c>
      <c r="E454" s="43">
        <v>46125</v>
      </c>
      <c r="F454" s="26" t="s">
        <v>55</v>
      </c>
      <c r="G454" s="44" t="s">
        <v>57</v>
      </c>
      <c r="H454" s="26" t="s">
        <v>57</v>
      </c>
      <c r="I454" s="44" t="s">
        <v>153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43">
        <v>46196</v>
      </c>
      <c r="O454" s="26" t="s">
        <v>55</v>
      </c>
      <c r="P454" s="44" t="s">
        <v>57</v>
      </c>
      <c r="Q454" s="26" t="s">
        <v>57</v>
      </c>
      <c r="R454" s="44" t="s">
        <v>153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5521</v>
      </c>
      <c r="C455" s="25" t="s">
        <v>5522</v>
      </c>
      <c r="D455" s="23" t="s">
        <v>5516</v>
      </c>
      <c r="E455" s="43">
        <v>46125</v>
      </c>
      <c r="F455" s="26" t="s">
        <v>55</v>
      </c>
      <c r="G455" s="44" t="s">
        <v>57</v>
      </c>
      <c r="H455" s="26" t="s">
        <v>57</v>
      </c>
      <c r="I455" s="44" t="s">
        <v>153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43">
        <v>46196</v>
      </c>
      <c r="O455" s="26" t="s">
        <v>55</v>
      </c>
      <c r="P455" s="44" t="s">
        <v>57</v>
      </c>
      <c r="Q455" s="26" t="s">
        <v>57</v>
      </c>
      <c r="R455" s="44" t="s">
        <v>153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5523</v>
      </c>
      <c r="C456" s="41" t="s">
        <v>5524</v>
      </c>
      <c r="D456" s="39" t="s">
        <v>5516</v>
      </c>
      <c r="E456" s="43">
        <v>46125</v>
      </c>
      <c r="F456" s="26" t="s">
        <v>55</v>
      </c>
      <c r="G456" s="44" t="s">
        <v>57</v>
      </c>
      <c r="H456" s="26" t="s">
        <v>57</v>
      </c>
      <c r="I456" s="44" t="s">
        <v>153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43">
        <v>46196</v>
      </c>
      <c r="O456" s="26" t="s">
        <v>55</v>
      </c>
      <c r="P456" s="44" t="s">
        <v>57</v>
      </c>
      <c r="Q456" s="26" t="s">
        <v>57</v>
      </c>
      <c r="R456" s="44" t="s">
        <v>153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5525</v>
      </c>
      <c r="C457" s="25" t="s">
        <v>5526</v>
      </c>
      <c r="D457" s="23" t="s">
        <v>5516</v>
      </c>
      <c r="E457" s="43">
        <v>46125</v>
      </c>
      <c r="F457" s="26" t="s">
        <v>55</v>
      </c>
      <c r="G457" s="44" t="s">
        <v>57</v>
      </c>
      <c r="H457" s="26" t="s">
        <v>57</v>
      </c>
      <c r="I457" s="44" t="s">
        <v>153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43">
        <v>46196</v>
      </c>
      <c r="O457" s="26" t="s">
        <v>55</v>
      </c>
      <c r="P457" s="44" t="s">
        <v>57</v>
      </c>
      <c r="Q457" s="26" t="s">
        <v>57</v>
      </c>
      <c r="R457" s="44" t="s">
        <v>153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5527</v>
      </c>
      <c r="C458" s="41" t="s">
        <v>5528</v>
      </c>
      <c r="D458" s="39" t="s">
        <v>5516</v>
      </c>
      <c r="E458" s="43">
        <v>46125</v>
      </c>
      <c r="F458" s="26" t="s">
        <v>55</v>
      </c>
      <c r="G458" s="44" t="s">
        <v>57</v>
      </c>
      <c r="H458" s="26" t="s">
        <v>57</v>
      </c>
      <c r="I458" s="44" t="s">
        <v>153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43">
        <v>46196</v>
      </c>
      <c r="O458" s="26" t="s">
        <v>55</v>
      </c>
      <c r="P458" s="44" t="s">
        <v>57</v>
      </c>
      <c r="Q458" s="26" t="s">
        <v>57</v>
      </c>
      <c r="R458" s="44" t="s">
        <v>153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5529</v>
      </c>
      <c r="C459" s="25" t="s">
        <v>5530</v>
      </c>
      <c r="D459" s="23" t="s">
        <v>5516</v>
      </c>
      <c r="E459" s="43">
        <v>46125</v>
      </c>
      <c r="F459" s="26" t="s">
        <v>55</v>
      </c>
      <c r="G459" s="44" t="s">
        <v>57</v>
      </c>
      <c r="H459" s="26" t="s">
        <v>57</v>
      </c>
      <c r="I459" s="44" t="s">
        <v>153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43">
        <v>46196</v>
      </c>
      <c r="O459" s="26" t="s">
        <v>55</v>
      </c>
      <c r="P459" s="44" t="s">
        <v>57</v>
      </c>
      <c r="Q459" s="26" t="s">
        <v>57</v>
      </c>
      <c r="R459" s="44" t="s">
        <v>153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5531</v>
      </c>
      <c r="C460" s="41" t="s">
        <v>5532</v>
      </c>
      <c r="D460" s="39" t="s">
        <v>5516</v>
      </c>
      <c r="E460" s="43">
        <v>46125</v>
      </c>
      <c r="F460" s="26" t="s">
        <v>55</v>
      </c>
      <c r="G460" s="44" t="s">
        <v>57</v>
      </c>
      <c r="H460" s="26" t="s">
        <v>57</v>
      </c>
      <c r="I460" s="44" t="s">
        <v>153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43">
        <v>46196</v>
      </c>
      <c r="O460" s="26" t="s">
        <v>55</v>
      </c>
      <c r="P460" s="44" t="s">
        <v>57</v>
      </c>
      <c r="Q460" s="26" t="s">
        <v>57</v>
      </c>
      <c r="R460" s="44" t="s">
        <v>153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5533</v>
      </c>
      <c r="C461" s="25" t="s">
        <v>5534</v>
      </c>
      <c r="D461" s="23" t="s">
        <v>5516</v>
      </c>
      <c r="E461" s="43">
        <v>46125</v>
      </c>
      <c r="F461" s="26" t="s">
        <v>55</v>
      </c>
      <c r="G461" s="44" t="s">
        <v>57</v>
      </c>
      <c r="H461" s="26" t="s">
        <v>57</v>
      </c>
      <c r="I461" s="44" t="s">
        <v>153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43">
        <v>46196</v>
      </c>
      <c r="O461" s="26" t="s">
        <v>55</v>
      </c>
      <c r="P461" s="44" t="s">
        <v>57</v>
      </c>
      <c r="Q461" s="26" t="s">
        <v>57</v>
      </c>
      <c r="R461" s="44" t="s">
        <v>153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5535</v>
      </c>
      <c r="C462" s="41" t="s">
        <v>5536</v>
      </c>
      <c r="D462" s="39" t="s">
        <v>5516</v>
      </c>
      <c r="E462" s="43">
        <v>46125</v>
      </c>
      <c r="F462" s="26" t="s">
        <v>55</v>
      </c>
      <c r="G462" s="44" t="s">
        <v>57</v>
      </c>
      <c r="H462" s="26" t="s">
        <v>57</v>
      </c>
      <c r="I462" s="44" t="s">
        <v>153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43">
        <v>46196</v>
      </c>
      <c r="O462" s="26" t="s">
        <v>55</v>
      </c>
      <c r="P462" s="44" t="s">
        <v>57</v>
      </c>
      <c r="Q462" s="26" t="s">
        <v>57</v>
      </c>
      <c r="R462" s="44" t="s">
        <v>153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5537</v>
      </c>
      <c r="C463" s="25" t="s">
        <v>5538</v>
      </c>
      <c r="D463" s="23" t="s">
        <v>5516</v>
      </c>
      <c r="E463" s="43">
        <v>46125</v>
      </c>
      <c r="F463" s="26" t="s">
        <v>55</v>
      </c>
      <c r="G463" s="44" t="s">
        <v>57</v>
      </c>
      <c r="H463" s="26" t="s">
        <v>57</v>
      </c>
      <c r="I463" s="44" t="s">
        <v>153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43">
        <v>46196</v>
      </c>
      <c r="O463" s="26" t="s">
        <v>55</v>
      </c>
      <c r="P463" s="44" t="s">
        <v>57</v>
      </c>
      <c r="Q463" s="26" t="s">
        <v>57</v>
      </c>
      <c r="R463" s="44" t="s">
        <v>153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5539</v>
      </c>
      <c r="C464" s="41" t="s">
        <v>5540</v>
      </c>
      <c r="D464" s="39" t="s">
        <v>5516</v>
      </c>
      <c r="E464" s="43">
        <v>46125</v>
      </c>
      <c r="F464" s="26" t="s">
        <v>55</v>
      </c>
      <c r="G464" s="44" t="s">
        <v>57</v>
      </c>
      <c r="H464" s="26" t="s">
        <v>57</v>
      </c>
      <c r="I464" s="44" t="s">
        <v>153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43">
        <v>46196</v>
      </c>
      <c r="O464" s="26" t="s">
        <v>55</v>
      </c>
      <c r="P464" s="44" t="s">
        <v>57</v>
      </c>
      <c r="Q464" s="26" t="s">
        <v>57</v>
      </c>
      <c r="R464" s="44" t="s">
        <v>153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5541</v>
      </c>
      <c r="C465" s="25" t="s">
        <v>5542</v>
      </c>
      <c r="D465" s="23" t="s">
        <v>5516</v>
      </c>
      <c r="E465" s="43">
        <v>46125</v>
      </c>
      <c r="F465" s="26" t="s">
        <v>55</v>
      </c>
      <c r="G465" s="44" t="s">
        <v>57</v>
      </c>
      <c r="H465" s="26" t="s">
        <v>57</v>
      </c>
      <c r="I465" s="44" t="s">
        <v>153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43">
        <v>46196</v>
      </c>
      <c r="O465" s="26" t="s">
        <v>55</v>
      </c>
      <c r="P465" s="44" t="s">
        <v>57</v>
      </c>
      <c r="Q465" s="26" t="s">
        <v>57</v>
      </c>
      <c r="R465" s="44" t="s">
        <v>153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5543</v>
      </c>
      <c r="C466" s="41" t="s">
        <v>5544</v>
      </c>
      <c r="D466" s="39" t="s">
        <v>5516</v>
      </c>
      <c r="E466" s="43">
        <v>46125</v>
      </c>
      <c r="F466" s="26" t="s">
        <v>55</v>
      </c>
      <c r="G466" s="44" t="s">
        <v>57</v>
      </c>
      <c r="H466" s="26" t="s">
        <v>57</v>
      </c>
      <c r="I466" s="44" t="s">
        <v>153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43">
        <v>46196</v>
      </c>
      <c r="O466" s="26" t="s">
        <v>55</v>
      </c>
      <c r="P466" s="44" t="s">
        <v>57</v>
      </c>
      <c r="Q466" s="26" t="s">
        <v>57</v>
      </c>
      <c r="R466" s="44" t="s">
        <v>153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5545</v>
      </c>
      <c r="C467" s="25" t="s">
        <v>5546</v>
      </c>
      <c r="D467" s="23" t="s">
        <v>5516</v>
      </c>
      <c r="E467" s="43">
        <v>46125</v>
      </c>
      <c r="F467" s="26" t="s">
        <v>55</v>
      </c>
      <c r="G467" s="44" t="s">
        <v>57</v>
      </c>
      <c r="H467" s="26" t="s">
        <v>57</v>
      </c>
      <c r="I467" s="44" t="s">
        <v>153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43">
        <v>46196</v>
      </c>
      <c r="O467" s="26" t="s">
        <v>55</v>
      </c>
      <c r="P467" s="44" t="s">
        <v>57</v>
      </c>
      <c r="Q467" s="26" t="s">
        <v>57</v>
      </c>
      <c r="R467" s="44" t="s">
        <v>153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5547</v>
      </c>
      <c r="C468" s="41" t="s">
        <v>5548</v>
      </c>
      <c r="D468" s="39" t="s">
        <v>5516</v>
      </c>
      <c r="E468" s="43">
        <v>46125</v>
      </c>
      <c r="F468" s="26" t="s">
        <v>55</v>
      </c>
      <c r="G468" s="44" t="s">
        <v>57</v>
      </c>
      <c r="H468" s="26" t="s">
        <v>57</v>
      </c>
      <c r="I468" s="44" t="s">
        <v>153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43">
        <v>46196</v>
      </c>
      <c r="O468" s="26" t="s">
        <v>55</v>
      </c>
      <c r="P468" s="44" t="s">
        <v>57</v>
      </c>
      <c r="Q468" s="26" t="s">
        <v>57</v>
      </c>
      <c r="R468" s="44" t="s">
        <v>153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5549</v>
      </c>
      <c r="C469" s="25" t="s">
        <v>5550</v>
      </c>
      <c r="D469" s="23" t="s">
        <v>5516</v>
      </c>
      <c r="E469" s="43">
        <v>46125</v>
      </c>
      <c r="F469" s="26" t="s">
        <v>55</v>
      </c>
      <c r="G469" s="44" t="s">
        <v>57</v>
      </c>
      <c r="H469" s="26" t="s">
        <v>57</v>
      </c>
      <c r="I469" s="44" t="s">
        <v>153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43">
        <v>46196</v>
      </c>
      <c r="O469" s="26" t="s">
        <v>55</v>
      </c>
      <c r="P469" s="44" t="s">
        <v>57</v>
      </c>
      <c r="Q469" s="26" t="s">
        <v>57</v>
      </c>
      <c r="R469" s="44" t="s">
        <v>153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5551</v>
      </c>
      <c r="C470" s="41" t="s">
        <v>5552</v>
      </c>
      <c r="D470" s="39" t="s">
        <v>5516</v>
      </c>
      <c r="E470" s="43">
        <v>46125</v>
      </c>
      <c r="F470" s="26" t="s">
        <v>55</v>
      </c>
      <c r="G470" s="44" t="s">
        <v>57</v>
      </c>
      <c r="H470" s="26" t="s">
        <v>57</v>
      </c>
      <c r="I470" s="44" t="s">
        <v>153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43">
        <v>46196</v>
      </c>
      <c r="O470" s="26" t="s">
        <v>55</v>
      </c>
      <c r="P470" s="44" t="s">
        <v>57</v>
      </c>
      <c r="Q470" s="26" t="s">
        <v>57</v>
      </c>
      <c r="R470" s="44" t="s">
        <v>153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5553</v>
      </c>
      <c r="C471" s="25" t="s">
        <v>5554</v>
      </c>
      <c r="D471" s="23" t="s">
        <v>5516</v>
      </c>
      <c r="E471" s="43">
        <v>46125</v>
      </c>
      <c r="F471" s="26" t="s">
        <v>55</v>
      </c>
      <c r="G471" s="44" t="s">
        <v>57</v>
      </c>
      <c r="H471" s="26" t="s">
        <v>57</v>
      </c>
      <c r="I471" s="44" t="s">
        <v>153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43">
        <v>46196</v>
      </c>
      <c r="O471" s="26" t="s">
        <v>55</v>
      </c>
      <c r="P471" s="44" t="s">
        <v>57</v>
      </c>
      <c r="Q471" s="26" t="s">
        <v>57</v>
      </c>
      <c r="R471" s="44" t="s">
        <v>153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5555</v>
      </c>
      <c r="C472" s="41" t="s">
        <v>5556</v>
      </c>
      <c r="D472" s="39" t="s">
        <v>5516</v>
      </c>
      <c r="E472" s="43">
        <v>46125</v>
      </c>
      <c r="F472" s="26" t="s">
        <v>55</v>
      </c>
      <c r="G472" s="44" t="s">
        <v>56</v>
      </c>
      <c r="H472" s="26" t="s">
        <v>57</v>
      </c>
      <c r="I472" s="44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43">
        <v>46196</v>
      </c>
      <c r="O472" s="26" t="s">
        <v>55</v>
      </c>
      <c r="P472" s="44" t="s">
        <v>56</v>
      </c>
      <c r="Q472" s="26" t="s">
        <v>57</v>
      </c>
      <c r="R472" s="44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5557</v>
      </c>
      <c r="C473" s="25" t="s">
        <v>5558</v>
      </c>
      <c r="D473" s="23" t="s">
        <v>5516</v>
      </c>
      <c r="E473" s="43">
        <v>46125</v>
      </c>
      <c r="F473" s="26" t="s">
        <v>55</v>
      </c>
      <c r="G473" s="44" t="s">
        <v>770</v>
      </c>
      <c r="H473" s="26" t="s">
        <v>57</v>
      </c>
      <c r="I473" s="44" t="s">
        <v>770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43">
        <v>46196</v>
      </c>
      <c r="O473" s="26" t="s">
        <v>55</v>
      </c>
      <c r="P473" s="44" t="s">
        <v>770</v>
      </c>
      <c r="Q473" s="26" t="s">
        <v>57</v>
      </c>
      <c r="R473" s="44" t="s">
        <v>770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5559</v>
      </c>
      <c r="C474" s="41" t="s">
        <v>5560</v>
      </c>
      <c r="D474" s="39" t="s">
        <v>5516</v>
      </c>
      <c r="E474" s="43">
        <v>46125</v>
      </c>
      <c r="F474" s="26" t="s">
        <v>55</v>
      </c>
      <c r="G474" s="44" t="s">
        <v>770</v>
      </c>
      <c r="H474" s="26" t="s">
        <v>57</v>
      </c>
      <c r="I474" s="44" t="s">
        <v>770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43">
        <v>46196</v>
      </c>
      <c r="O474" s="26" t="s">
        <v>55</v>
      </c>
      <c r="P474" s="44" t="s">
        <v>770</v>
      </c>
      <c r="Q474" s="26" t="s">
        <v>57</v>
      </c>
      <c r="R474" s="44" t="s">
        <v>770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5561</v>
      </c>
      <c r="C475" s="25" t="s">
        <v>5562</v>
      </c>
      <c r="D475" s="23" t="s">
        <v>5516</v>
      </c>
      <c r="E475" s="43">
        <v>46125</v>
      </c>
      <c r="F475" s="26" t="s">
        <v>55</v>
      </c>
      <c r="G475" s="44" t="s">
        <v>770</v>
      </c>
      <c r="H475" s="26" t="s">
        <v>57</v>
      </c>
      <c r="I475" s="44" t="s">
        <v>770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43">
        <v>46196</v>
      </c>
      <c r="O475" s="26" t="s">
        <v>55</v>
      </c>
      <c r="P475" s="44" t="s">
        <v>770</v>
      </c>
      <c r="Q475" s="26" t="s">
        <v>57</v>
      </c>
      <c r="R475" s="44" t="s">
        <v>770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5563</v>
      </c>
      <c r="C476" s="41" t="s">
        <v>5564</v>
      </c>
      <c r="D476" s="39" t="s">
        <v>5516</v>
      </c>
      <c r="E476" s="43">
        <v>46125</v>
      </c>
      <c r="F476" s="26" t="s">
        <v>55</v>
      </c>
      <c r="G476" s="44" t="s">
        <v>56</v>
      </c>
      <c r="H476" s="26" t="s">
        <v>57</v>
      </c>
      <c r="I476" s="44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43">
        <v>46196</v>
      </c>
      <c r="O476" s="26" t="s">
        <v>55</v>
      </c>
      <c r="P476" s="44" t="s">
        <v>56</v>
      </c>
      <c r="Q476" s="26" t="s">
        <v>57</v>
      </c>
      <c r="R476" s="44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5565</v>
      </c>
      <c r="C477" s="25" t="s">
        <v>5566</v>
      </c>
      <c r="D477" s="23" t="s">
        <v>5516</v>
      </c>
      <c r="E477" s="43">
        <v>46125</v>
      </c>
      <c r="F477" s="26" t="s">
        <v>55</v>
      </c>
      <c r="G477" s="44" t="s">
        <v>770</v>
      </c>
      <c r="H477" s="26" t="s">
        <v>57</v>
      </c>
      <c r="I477" s="44" t="s">
        <v>770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43">
        <v>46196</v>
      </c>
      <c r="O477" s="26" t="s">
        <v>55</v>
      </c>
      <c r="P477" s="44" t="s">
        <v>770</v>
      </c>
      <c r="Q477" s="26" t="s">
        <v>57</v>
      </c>
      <c r="R477" s="44" t="s">
        <v>770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5567</v>
      </c>
      <c r="C478" s="41" t="s">
        <v>5568</v>
      </c>
      <c r="D478" s="39" t="s">
        <v>5516</v>
      </c>
      <c r="E478" s="43">
        <v>46125</v>
      </c>
      <c r="F478" s="26" t="s">
        <v>55</v>
      </c>
      <c r="G478" s="44" t="s">
        <v>770</v>
      </c>
      <c r="H478" s="26" t="s">
        <v>57</v>
      </c>
      <c r="I478" s="44" t="s">
        <v>770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43">
        <v>46196</v>
      </c>
      <c r="O478" s="26" t="s">
        <v>55</v>
      </c>
      <c r="P478" s="44" t="s">
        <v>770</v>
      </c>
      <c r="Q478" s="26" t="s">
        <v>57</v>
      </c>
      <c r="R478" s="44" t="s">
        <v>770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5569</v>
      </c>
      <c r="C479" s="25" t="s">
        <v>5570</v>
      </c>
      <c r="D479" s="23" t="s">
        <v>5516</v>
      </c>
      <c r="E479" s="43">
        <v>46125</v>
      </c>
      <c r="F479" s="26" t="s">
        <v>55</v>
      </c>
      <c r="G479" s="44" t="s">
        <v>770</v>
      </c>
      <c r="H479" s="26" t="s">
        <v>57</v>
      </c>
      <c r="I479" s="44" t="s">
        <v>770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43">
        <v>46196</v>
      </c>
      <c r="O479" s="26" t="s">
        <v>55</v>
      </c>
      <c r="P479" s="44" t="s">
        <v>770</v>
      </c>
      <c r="Q479" s="26" t="s">
        <v>57</v>
      </c>
      <c r="R479" s="44" t="s">
        <v>770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5571</v>
      </c>
      <c r="C480" s="41" t="s">
        <v>5572</v>
      </c>
      <c r="D480" s="39" t="s">
        <v>5516</v>
      </c>
      <c r="E480" s="43">
        <v>46125</v>
      </c>
      <c r="F480" s="26" t="s">
        <v>55</v>
      </c>
      <c r="G480" s="44" t="s">
        <v>770</v>
      </c>
      <c r="H480" s="26" t="s">
        <v>57</v>
      </c>
      <c r="I480" s="44" t="s">
        <v>770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43">
        <v>46196</v>
      </c>
      <c r="O480" s="26" t="s">
        <v>55</v>
      </c>
      <c r="P480" s="44" t="s">
        <v>770</v>
      </c>
      <c r="Q480" s="26" t="s">
        <v>57</v>
      </c>
      <c r="R480" s="44" t="s">
        <v>770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5573</v>
      </c>
      <c r="C481" s="25" t="s">
        <v>5574</v>
      </c>
      <c r="D481" s="23" t="s">
        <v>5516</v>
      </c>
      <c r="E481" s="43">
        <v>46125</v>
      </c>
      <c r="F481" s="26" t="s">
        <v>55</v>
      </c>
      <c r="G481" s="44" t="s">
        <v>770</v>
      </c>
      <c r="H481" s="26" t="s">
        <v>57</v>
      </c>
      <c r="I481" s="44" t="s">
        <v>770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43">
        <v>46196</v>
      </c>
      <c r="O481" s="26" t="s">
        <v>55</v>
      </c>
      <c r="P481" s="44" t="s">
        <v>770</v>
      </c>
      <c r="Q481" s="26" t="s">
        <v>57</v>
      </c>
      <c r="R481" s="44" t="s">
        <v>770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5575</v>
      </c>
      <c r="C482" s="41" t="s">
        <v>5576</v>
      </c>
      <c r="D482" s="39" t="s">
        <v>5516</v>
      </c>
      <c r="E482" s="43">
        <v>46125</v>
      </c>
      <c r="F482" s="26" t="s">
        <v>55</v>
      </c>
      <c r="G482" s="44" t="s">
        <v>770</v>
      </c>
      <c r="H482" s="26" t="s">
        <v>57</v>
      </c>
      <c r="I482" s="44" t="s">
        <v>770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43">
        <v>46196</v>
      </c>
      <c r="O482" s="26" t="s">
        <v>55</v>
      </c>
      <c r="P482" s="44" t="s">
        <v>770</v>
      </c>
      <c r="Q482" s="26" t="s">
        <v>57</v>
      </c>
      <c r="R482" s="44" t="s">
        <v>770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5577</v>
      </c>
      <c r="C483" s="25" t="s">
        <v>5578</v>
      </c>
      <c r="D483" s="23" t="s">
        <v>5516</v>
      </c>
      <c r="E483" s="43">
        <v>46125</v>
      </c>
      <c r="F483" s="26" t="s">
        <v>55</v>
      </c>
      <c r="G483" s="44" t="s">
        <v>56</v>
      </c>
      <c r="H483" s="26" t="s">
        <v>57</v>
      </c>
      <c r="I483" s="44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43">
        <v>46196</v>
      </c>
      <c r="O483" s="26" t="s">
        <v>55</v>
      </c>
      <c r="P483" s="44" t="s">
        <v>56</v>
      </c>
      <c r="Q483" s="26" t="s">
        <v>57</v>
      </c>
      <c r="R483" s="44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5579</v>
      </c>
      <c r="C484" s="41" t="s">
        <v>5580</v>
      </c>
      <c r="D484" s="39" t="s">
        <v>5516</v>
      </c>
      <c r="E484" s="43">
        <v>46125</v>
      </c>
      <c r="F484" s="26" t="s">
        <v>55</v>
      </c>
      <c r="G484" s="44" t="s">
        <v>770</v>
      </c>
      <c r="H484" s="26" t="s">
        <v>57</v>
      </c>
      <c r="I484" s="44" t="s">
        <v>770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43">
        <v>46196</v>
      </c>
      <c r="O484" s="26" t="s">
        <v>55</v>
      </c>
      <c r="P484" s="44" t="s">
        <v>770</v>
      </c>
      <c r="Q484" s="26" t="s">
        <v>57</v>
      </c>
      <c r="R484" s="44" t="s">
        <v>770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5581</v>
      </c>
      <c r="C485" s="25" t="s">
        <v>5582</v>
      </c>
      <c r="D485" s="23" t="s">
        <v>5516</v>
      </c>
      <c r="E485" s="43">
        <v>46125</v>
      </c>
      <c r="F485" s="26" t="s">
        <v>55</v>
      </c>
      <c r="G485" s="44" t="s">
        <v>770</v>
      </c>
      <c r="H485" s="26" t="s">
        <v>57</v>
      </c>
      <c r="I485" s="44" t="s">
        <v>770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43">
        <v>46196</v>
      </c>
      <c r="O485" s="26" t="s">
        <v>55</v>
      </c>
      <c r="P485" s="44" t="s">
        <v>770</v>
      </c>
      <c r="Q485" s="26" t="s">
        <v>57</v>
      </c>
      <c r="R485" s="44" t="s">
        <v>770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5583</v>
      </c>
      <c r="C486" s="41" t="s">
        <v>5584</v>
      </c>
      <c r="D486" s="39" t="s">
        <v>5516</v>
      </c>
      <c r="E486" s="43">
        <v>46125</v>
      </c>
      <c r="F486" s="26" t="s">
        <v>55</v>
      </c>
      <c r="G486" s="44" t="s">
        <v>770</v>
      </c>
      <c r="H486" s="26" t="s">
        <v>57</v>
      </c>
      <c r="I486" s="44" t="s">
        <v>770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43">
        <v>46196</v>
      </c>
      <c r="O486" s="26" t="s">
        <v>55</v>
      </c>
      <c r="P486" s="44" t="s">
        <v>770</v>
      </c>
      <c r="Q486" s="26" t="s">
        <v>57</v>
      </c>
      <c r="R486" s="44" t="s">
        <v>770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5585</v>
      </c>
      <c r="C487" s="25" t="s">
        <v>5586</v>
      </c>
      <c r="D487" s="23" t="s">
        <v>5516</v>
      </c>
      <c r="E487" s="43">
        <v>46125</v>
      </c>
      <c r="F487" s="26" t="s">
        <v>55</v>
      </c>
      <c r="G487" s="44" t="s">
        <v>770</v>
      </c>
      <c r="H487" s="26" t="s">
        <v>57</v>
      </c>
      <c r="I487" s="44" t="s">
        <v>770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43">
        <v>46196</v>
      </c>
      <c r="O487" s="26" t="s">
        <v>55</v>
      </c>
      <c r="P487" s="44" t="s">
        <v>770</v>
      </c>
      <c r="Q487" s="26" t="s">
        <v>57</v>
      </c>
      <c r="R487" s="44" t="s">
        <v>770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5587</v>
      </c>
      <c r="C488" s="41" t="s">
        <v>5588</v>
      </c>
      <c r="D488" s="39" t="s">
        <v>5516</v>
      </c>
      <c r="E488" s="43">
        <v>46125</v>
      </c>
      <c r="F488" s="26" t="s">
        <v>55</v>
      </c>
      <c r="G488" s="44" t="s">
        <v>770</v>
      </c>
      <c r="H488" s="26" t="s">
        <v>57</v>
      </c>
      <c r="I488" s="44" t="s">
        <v>770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43">
        <v>46196</v>
      </c>
      <c r="O488" s="26" t="s">
        <v>55</v>
      </c>
      <c r="P488" s="44" t="s">
        <v>770</v>
      </c>
      <c r="Q488" s="26" t="s">
        <v>57</v>
      </c>
      <c r="R488" s="44" t="s">
        <v>770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5589</v>
      </c>
      <c r="C489" s="25" t="s">
        <v>5590</v>
      </c>
      <c r="D489" s="23" t="s">
        <v>5516</v>
      </c>
      <c r="E489" s="43">
        <v>46125</v>
      </c>
      <c r="F489" s="26" t="s">
        <v>55</v>
      </c>
      <c r="G489" s="44" t="s">
        <v>770</v>
      </c>
      <c r="H489" s="26" t="s">
        <v>57</v>
      </c>
      <c r="I489" s="44" t="s">
        <v>770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3">
        <v>46196</v>
      </c>
      <c r="O489" s="26" t="s">
        <v>55</v>
      </c>
      <c r="P489" s="44" t="s">
        <v>770</v>
      </c>
      <c r="Q489" s="26" t="s">
        <v>57</v>
      </c>
      <c r="R489" s="44" t="s">
        <v>770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5591</v>
      </c>
      <c r="C490" s="41" t="s">
        <v>5592</v>
      </c>
      <c r="D490" s="39" t="s">
        <v>5516</v>
      </c>
      <c r="E490" s="43">
        <v>46125</v>
      </c>
      <c r="F490" s="26" t="s">
        <v>55</v>
      </c>
      <c r="G490" s="44" t="s">
        <v>770</v>
      </c>
      <c r="H490" s="26" t="s">
        <v>57</v>
      </c>
      <c r="I490" s="44" t="s">
        <v>770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3">
        <v>46196</v>
      </c>
      <c r="O490" s="26" t="s">
        <v>55</v>
      </c>
      <c r="P490" s="44" t="s">
        <v>770</v>
      </c>
      <c r="Q490" s="26" t="s">
        <v>57</v>
      </c>
      <c r="R490" s="44" t="s">
        <v>770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5593</v>
      </c>
      <c r="C491" s="25" t="s">
        <v>5594</v>
      </c>
      <c r="D491" s="23" t="s">
        <v>5516</v>
      </c>
      <c r="E491" s="43">
        <v>46125</v>
      </c>
      <c r="F491" s="26" t="s">
        <v>55</v>
      </c>
      <c r="G491" s="44" t="s">
        <v>56</v>
      </c>
      <c r="H491" s="26" t="s">
        <v>57</v>
      </c>
      <c r="I491" s="44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3">
        <v>46196</v>
      </c>
      <c r="O491" s="26" t="s">
        <v>55</v>
      </c>
      <c r="P491" s="44" t="s">
        <v>56</v>
      </c>
      <c r="Q491" s="26" t="s">
        <v>57</v>
      </c>
      <c r="R491" s="44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5595</v>
      </c>
      <c r="C492" s="41" t="s">
        <v>5596</v>
      </c>
      <c r="D492" s="39" t="s">
        <v>5516</v>
      </c>
      <c r="E492" s="43">
        <v>46125</v>
      </c>
      <c r="F492" s="26" t="s">
        <v>55</v>
      </c>
      <c r="G492" s="44" t="s">
        <v>770</v>
      </c>
      <c r="H492" s="26" t="s">
        <v>57</v>
      </c>
      <c r="I492" s="44" t="s">
        <v>770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3">
        <v>46196</v>
      </c>
      <c r="O492" s="26" t="s">
        <v>55</v>
      </c>
      <c r="P492" s="44" t="s">
        <v>770</v>
      </c>
      <c r="Q492" s="26" t="s">
        <v>57</v>
      </c>
      <c r="R492" s="44" t="s">
        <v>770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5597</v>
      </c>
      <c r="C493" s="25" t="s">
        <v>5598</v>
      </c>
      <c r="D493" s="23" t="s">
        <v>5516</v>
      </c>
      <c r="E493" s="43">
        <v>46125</v>
      </c>
      <c r="F493" s="26" t="s">
        <v>55</v>
      </c>
      <c r="G493" s="44" t="s">
        <v>770</v>
      </c>
      <c r="H493" s="26" t="s">
        <v>57</v>
      </c>
      <c r="I493" s="44" t="s">
        <v>770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3">
        <v>46196</v>
      </c>
      <c r="O493" s="26" t="s">
        <v>55</v>
      </c>
      <c r="P493" s="44" t="s">
        <v>770</v>
      </c>
      <c r="Q493" s="26" t="s">
        <v>57</v>
      </c>
      <c r="R493" s="44" t="s">
        <v>770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5599</v>
      </c>
      <c r="C494" s="41" t="s">
        <v>5600</v>
      </c>
      <c r="D494" s="39" t="s">
        <v>5516</v>
      </c>
      <c r="E494" s="43">
        <v>46125</v>
      </c>
      <c r="F494" s="26" t="s">
        <v>55</v>
      </c>
      <c r="G494" s="44" t="s">
        <v>770</v>
      </c>
      <c r="H494" s="26" t="s">
        <v>57</v>
      </c>
      <c r="I494" s="44" t="s">
        <v>770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3">
        <v>46196</v>
      </c>
      <c r="O494" s="26" t="s">
        <v>55</v>
      </c>
      <c r="P494" s="44" t="s">
        <v>770</v>
      </c>
      <c r="Q494" s="26" t="s">
        <v>57</v>
      </c>
      <c r="R494" s="44" t="s">
        <v>770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5601</v>
      </c>
      <c r="C495" s="25" t="s">
        <v>5602</v>
      </c>
      <c r="D495" s="23" t="s">
        <v>5516</v>
      </c>
      <c r="E495" s="43">
        <v>46125</v>
      </c>
      <c r="F495" s="26" t="s">
        <v>55</v>
      </c>
      <c r="G495" s="44" t="s">
        <v>770</v>
      </c>
      <c r="H495" s="26" t="s">
        <v>57</v>
      </c>
      <c r="I495" s="44" t="s">
        <v>770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3">
        <v>46196</v>
      </c>
      <c r="O495" s="26" t="s">
        <v>55</v>
      </c>
      <c r="P495" s="44" t="s">
        <v>770</v>
      </c>
      <c r="Q495" s="26" t="s">
        <v>57</v>
      </c>
      <c r="R495" s="44" t="s">
        <v>770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5603</v>
      </c>
      <c r="C496" s="41" t="s">
        <v>5604</v>
      </c>
      <c r="D496" s="39" t="s">
        <v>5516</v>
      </c>
      <c r="E496" s="43">
        <v>46125</v>
      </c>
      <c r="F496" s="26" t="s">
        <v>55</v>
      </c>
      <c r="G496" s="44" t="s">
        <v>770</v>
      </c>
      <c r="H496" s="26" t="s">
        <v>57</v>
      </c>
      <c r="I496" s="44" t="s">
        <v>770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3">
        <v>46196</v>
      </c>
      <c r="O496" s="26" t="s">
        <v>55</v>
      </c>
      <c r="P496" s="44" t="s">
        <v>770</v>
      </c>
      <c r="Q496" s="26" t="s">
        <v>57</v>
      </c>
      <c r="R496" s="44" t="s">
        <v>770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5605</v>
      </c>
      <c r="C497" s="25" t="s">
        <v>5606</v>
      </c>
      <c r="D497" s="23" t="s">
        <v>5516</v>
      </c>
      <c r="E497" s="43">
        <v>46125</v>
      </c>
      <c r="F497" s="26" t="s">
        <v>55</v>
      </c>
      <c r="G497" s="44" t="s">
        <v>770</v>
      </c>
      <c r="H497" s="26" t="s">
        <v>57</v>
      </c>
      <c r="I497" s="44" t="s">
        <v>770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3">
        <v>46196</v>
      </c>
      <c r="O497" s="26" t="s">
        <v>55</v>
      </c>
      <c r="P497" s="44" t="s">
        <v>770</v>
      </c>
      <c r="Q497" s="26" t="s">
        <v>57</v>
      </c>
      <c r="R497" s="44" t="s">
        <v>770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5607</v>
      </c>
      <c r="C498" s="41" t="s">
        <v>5608</v>
      </c>
      <c r="D498" s="39" t="s">
        <v>5516</v>
      </c>
      <c r="E498" s="43">
        <v>46125</v>
      </c>
      <c r="F498" s="26" t="s">
        <v>55</v>
      </c>
      <c r="G498" s="44" t="s">
        <v>770</v>
      </c>
      <c r="H498" s="26" t="s">
        <v>57</v>
      </c>
      <c r="I498" s="44" t="s">
        <v>770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3">
        <v>46196</v>
      </c>
      <c r="O498" s="26" t="s">
        <v>55</v>
      </c>
      <c r="P498" s="44" t="s">
        <v>770</v>
      </c>
      <c r="Q498" s="26" t="s">
        <v>57</v>
      </c>
      <c r="R498" s="44" t="s">
        <v>770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5609</v>
      </c>
      <c r="C499" s="25" t="s">
        <v>5610</v>
      </c>
      <c r="D499" s="23" t="s">
        <v>5516</v>
      </c>
      <c r="E499" s="43">
        <v>46125</v>
      </c>
      <c r="F499" s="26" t="s">
        <v>55</v>
      </c>
      <c r="G499" s="44" t="s">
        <v>770</v>
      </c>
      <c r="H499" s="26" t="s">
        <v>57</v>
      </c>
      <c r="I499" s="44" t="s">
        <v>770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3">
        <v>46196</v>
      </c>
      <c r="O499" s="26" t="s">
        <v>55</v>
      </c>
      <c r="P499" s="44" t="s">
        <v>770</v>
      </c>
      <c r="Q499" s="26" t="s">
        <v>57</v>
      </c>
      <c r="R499" s="44" t="s">
        <v>770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5611</v>
      </c>
      <c r="C500" s="41" t="s">
        <v>5612</v>
      </c>
      <c r="D500" s="39" t="s">
        <v>5516</v>
      </c>
      <c r="E500" s="43">
        <v>46125</v>
      </c>
      <c r="F500" s="26" t="s">
        <v>55</v>
      </c>
      <c r="G500" s="44" t="s">
        <v>770</v>
      </c>
      <c r="H500" s="26" t="s">
        <v>57</v>
      </c>
      <c r="I500" s="44" t="s">
        <v>770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3">
        <v>46196</v>
      </c>
      <c r="O500" s="26" t="s">
        <v>55</v>
      </c>
      <c r="P500" s="44" t="s">
        <v>770</v>
      </c>
      <c r="Q500" s="26" t="s">
        <v>57</v>
      </c>
      <c r="R500" s="44" t="s">
        <v>770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5613</v>
      </c>
      <c r="C501" s="25" t="s">
        <v>5614</v>
      </c>
      <c r="D501" s="23" t="s">
        <v>5516</v>
      </c>
      <c r="E501" s="43">
        <v>46125</v>
      </c>
      <c r="F501" s="26" t="s">
        <v>55</v>
      </c>
      <c r="G501" s="44" t="s">
        <v>56</v>
      </c>
      <c r="H501" s="26" t="s">
        <v>57</v>
      </c>
      <c r="I501" s="44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3">
        <v>46196</v>
      </c>
      <c r="O501" s="26" t="s">
        <v>55</v>
      </c>
      <c r="P501" s="44" t="s">
        <v>56</v>
      </c>
      <c r="Q501" s="26" t="s">
        <v>57</v>
      </c>
      <c r="R501" s="44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5615</v>
      </c>
      <c r="C502" s="41" t="s">
        <v>5616</v>
      </c>
      <c r="D502" s="39" t="s">
        <v>5516</v>
      </c>
      <c r="E502" s="43">
        <v>46125</v>
      </c>
      <c r="F502" s="26" t="s">
        <v>55</v>
      </c>
      <c r="G502" s="44" t="s">
        <v>770</v>
      </c>
      <c r="H502" s="26" t="s">
        <v>57</v>
      </c>
      <c r="I502" s="44" t="s">
        <v>770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3">
        <v>46196</v>
      </c>
      <c r="O502" s="26" t="s">
        <v>55</v>
      </c>
      <c r="P502" s="44" t="s">
        <v>770</v>
      </c>
      <c r="Q502" s="26" t="s">
        <v>57</v>
      </c>
      <c r="R502" s="44" t="s">
        <v>770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5617</v>
      </c>
      <c r="C503" s="25" t="s">
        <v>5618</v>
      </c>
      <c r="D503" s="23" t="s">
        <v>5516</v>
      </c>
      <c r="E503" s="43">
        <v>46125</v>
      </c>
      <c r="F503" s="26" t="s">
        <v>55</v>
      </c>
      <c r="G503" s="44" t="s">
        <v>56</v>
      </c>
      <c r="H503" s="26" t="s">
        <v>57</v>
      </c>
      <c r="I503" s="44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3">
        <v>46196</v>
      </c>
      <c r="O503" s="26" t="s">
        <v>55</v>
      </c>
      <c r="P503" s="44" t="s">
        <v>56</v>
      </c>
      <c r="Q503" s="26" t="s">
        <v>57</v>
      </c>
      <c r="R503" s="44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5619</v>
      </c>
      <c r="C504" s="41" t="s">
        <v>5620</v>
      </c>
      <c r="D504" s="39" t="s">
        <v>5516</v>
      </c>
      <c r="E504" s="43">
        <v>46125</v>
      </c>
      <c r="F504" s="26" t="s">
        <v>55</v>
      </c>
      <c r="G504" s="44" t="s">
        <v>770</v>
      </c>
      <c r="H504" s="26" t="s">
        <v>57</v>
      </c>
      <c r="I504" s="44" t="s">
        <v>770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3">
        <v>46196</v>
      </c>
      <c r="O504" s="26" t="s">
        <v>55</v>
      </c>
      <c r="P504" s="44" t="s">
        <v>770</v>
      </c>
      <c r="Q504" s="26" t="s">
        <v>57</v>
      </c>
      <c r="R504" s="44" t="s">
        <v>770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5621</v>
      </c>
      <c r="C505" s="25" t="s">
        <v>5622</v>
      </c>
      <c r="D505" s="23" t="s">
        <v>5516</v>
      </c>
      <c r="E505" s="43">
        <v>46125</v>
      </c>
      <c r="F505" s="26" t="s">
        <v>55</v>
      </c>
      <c r="G505" s="44" t="s">
        <v>770</v>
      </c>
      <c r="H505" s="26" t="s">
        <v>57</v>
      </c>
      <c r="I505" s="44" t="s">
        <v>770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3">
        <v>46196</v>
      </c>
      <c r="O505" s="26" t="s">
        <v>55</v>
      </c>
      <c r="P505" s="44" t="s">
        <v>770</v>
      </c>
      <c r="Q505" s="26" t="s">
        <v>57</v>
      </c>
      <c r="R505" s="44" t="s">
        <v>770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5623</v>
      </c>
      <c r="C506" s="41" t="s">
        <v>5624</v>
      </c>
      <c r="D506" s="39" t="s">
        <v>5516</v>
      </c>
      <c r="E506" s="43">
        <v>46125</v>
      </c>
      <c r="F506" s="26" t="s">
        <v>55</v>
      </c>
      <c r="G506" s="44" t="s">
        <v>770</v>
      </c>
      <c r="H506" s="26" t="s">
        <v>57</v>
      </c>
      <c r="I506" s="44" t="s">
        <v>770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3">
        <v>46196</v>
      </c>
      <c r="O506" s="26" t="s">
        <v>55</v>
      </c>
      <c r="P506" s="44" t="s">
        <v>770</v>
      </c>
      <c r="Q506" s="26" t="s">
        <v>57</v>
      </c>
      <c r="R506" s="44" t="s">
        <v>770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5625</v>
      </c>
      <c r="C507" s="25" t="s">
        <v>5626</v>
      </c>
      <c r="D507" s="23" t="s">
        <v>5516</v>
      </c>
      <c r="E507" s="43">
        <v>46125</v>
      </c>
      <c r="F507" s="26" t="s">
        <v>55</v>
      </c>
      <c r="G507" s="44" t="s">
        <v>770</v>
      </c>
      <c r="H507" s="26" t="s">
        <v>57</v>
      </c>
      <c r="I507" s="44" t="s">
        <v>770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3">
        <v>46196</v>
      </c>
      <c r="O507" s="26" t="s">
        <v>55</v>
      </c>
      <c r="P507" s="44" t="s">
        <v>770</v>
      </c>
      <c r="Q507" s="26" t="s">
        <v>57</v>
      </c>
      <c r="R507" s="44" t="s">
        <v>770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5627</v>
      </c>
      <c r="C508" s="41" t="s">
        <v>5628</v>
      </c>
      <c r="D508" s="39" t="s">
        <v>5516</v>
      </c>
      <c r="E508" s="43">
        <v>46125</v>
      </c>
      <c r="F508" s="26" t="s">
        <v>55</v>
      </c>
      <c r="G508" s="44" t="s">
        <v>770</v>
      </c>
      <c r="H508" s="26" t="s">
        <v>57</v>
      </c>
      <c r="I508" s="44" t="s">
        <v>770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3">
        <v>46196</v>
      </c>
      <c r="O508" s="26" t="s">
        <v>55</v>
      </c>
      <c r="P508" s="44" t="s">
        <v>770</v>
      </c>
      <c r="Q508" s="26" t="s">
        <v>57</v>
      </c>
      <c r="R508" s="44" t="s">
        <v>770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5629</v>
      </c>
      <c r="C509" s="25" t="s">
        <v>5630</v>
      </c>
      <c r="D509" s="23" t="s">
        <v>5516</v>
      </c>
      <c r="E509" s="43">
        <v>46125</v>
      </c>
      <c r="F509" s="26" t="s">
        <v>55</v>
      </c>
      <c r="G509" s="44" t="s">
        <v>770</v>
      </c>
      <c r="H509" s="26" t="s">
        <v>57</v>
      </c>
      <c r="I509" s="44" t="s">
        <v>770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3">
        <v>46196</v>
      </c>
      <c r="O509" s="26" t="s">
        <v>55</v>
      </c>
      <c r="P509" s="44" t="s">
        <v>770</v>
      </c>
      <c r="Q509" s="26" t="s">
        <v>57</v>
      </c>
      <c r="R509" s="44" t="s">
        <v>770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5631</v>
      </c>
      <c r="C510" s="41" t="s">
        <v>5632</v>
      </c>
      <c r="D510" s="39" t="s">
        <v>5516</v>
      </c>
      <c r="E510" s="43">
        <v>46125</v>
      </c>
      <c r="F510" s="26" t="s">
        <v>55</v>
      </c>
      <c r="G510" s="44" t="s">
        <v>770</v>
      </c>
      <c r="H510" s="26" t="s">
        <v>57</v>
      </c>
      <c r="I510" s="44" t="s">
        <v>770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3">
        <v>46196</v>
      </c>
      <c r="O510" s="26" t="s">
        <v>55</v>
      </c>
      <c r="P510" s="44" t="s">
        <v>770</v>
      </c>
      <c r="Q510" s="26" t="s">
        <v>57</v>
      </c>
      <c r="R510" s="44" t="s">
        <v>770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5633</v>
      </c>
      <c r="C511" s="25" t="s">
        <v>5634</v>
      </c>
      <c r="D511" s="23" t="s">
        <v>5516</v>
      </c>
      <c r="E511" s="43">
        <v>46125</v>
      </c>
      <c r="F511" s="26" t="s">
        <v>55</v>
      </c>
      <c r="G511" s="44" t="s">
        <v>770</v>
      </c>
      <c r="H511" s="26" t="s">
        <v>57</v>
      </c>
      <c r="I511" s="44" t="s">
        <v>770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3">
        <v>46196</v>
      </c>
      <c r="O511" s="26" t="s">
        <v>55</v>
      </c>
      <c r="P511" s="44" t="s">
        <v>770</v>
      </c>
      <c r="Q511" s="26" t="s">
        <v>57</v>
      </c>
      <c r="R511" s="44" t="s">
        <v>770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5635</v>
      </c>
      <c r="C512" s="41" t="s">
        <v>5636</v>
      </c>
      <c r="D512" s="39" t="s">
        <v>5516</v>
      </c>
      <c r="E512" s="43">
        <v>46125</v>
      </c>
      <c r="F512" s="26" t="s">
        <v>55</v>
      </c>
      <c r="G512" s="44" t="s">
        <v>56</v>
      </c>
      <c r="H512" s="26" t="s">
        <v>57</v>
      </c>
      <c r="I512" s="44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3">
        <v>46196</v>
      </c>
      <c r="O512" s="26" t="s">
        <v>55</v>
      </c>
      <c r="P512" s="44" t="s">
        <v>56</v>
      </c>
      <c r="Q512" s="26" t="s">
        <v>57</v>
      </c>
      <c r="R512" s="44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5637</v>
      </c>
      <c r="C513" s="25" t="s">
        <v>5638</v>
      </c>
      <c r="D513" s="23" t="s">
        <v>5516</v>
      </c>
      <c r="E513" s="43">
        <v>46125</v>
      </c>
      <c r="F513" s="26" t="s">
        <v>55</v>
      </c>
      <c r="G513" s="44" t="s">
        <v>770</v>
      </c>
      <c r="H513" s="26" t="s">
        <v>57</v>
      </c>
      <c r="I513" s="44" t="s">
        <v>770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3">
        <v>46196</v>
      </c>
      <c r="O513" s="26" t="s">
        <v>55</v>
      </c>
      <c r="P513" s="44" t="s">
        <v>770</v>
      </c>
      <c r="Q513" s="26" t="s">
        <v>57</v>
      </c>
      <c r="R513" s="44" t="s">
        <v>770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5639</v>
      </c>
      <c r="C514" s="41" t="s">
        <v>5640</v>
      </c>
      <c r="D514" s="39" t="s">
        <v>5516</v>
      </c>
      <c r="E514" s="43">
        <v>46125</v>
      </c>
      <c r="F514" s="26" t="s">
        <v>55</v>
      </c>
      <c r="G514" s="44" t="s">
        <v>770</v>
      </c>
      <c r="H514" s="26" t="s">
        <v>57</v>
      </c>
      <c r="I514" s="44" t="s">
        <v>770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3">
        <v>46196</v>
      </c>
      <c r="O514" s="26" t="s">
        <v>55</v>
      </c>
      <c r="P514" s="44" t="s">
        <v>770</v>
      </c>
      <c r="Q514" s="26" t="s">
        <v>57</v>
      </c>
      <c r="R514" s="44" t="s">
        <v>770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5641</v>
      </c>
      <c r="C515" s="25" t="s">
        <v>5642</v>
      </c>
      <c r="D515" s="23" t="s">
        <v>5516</v>
      </c>
      <c r="E515" s="43">
        <v>46125</v>
      </c>
      <c r="F515" s="26" t="s">
        <v>55</v>
      </c>
      <c r="G515" s="44" t="s">
        <v>770</v>
      </c>
      <c r="H515" s="26" t="s">
        <v>57</v>
      </c>
      <c r="I515" s="44" t="s">
        <v>770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3">
        <v>46196</v>
      </c>
      <c r="O515" s="26" t="s">
        <v>55</v>
      </c>
      <c r="P515" s="44" t="s">
        <v>770</v>
      </c>
      <c r="Q515" s="26" t="s">
        <v>57</v>
      </c>
      <c r="R515" s="44" t="s">
        <v>770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5643</v>
      </c>
      <c r="C516" s="41" t="s">
        <v>5644</v>
      </c>
      <c r="D516" s="39" t="s">
        <v>5516</v>
      </c>
      <c r="E516" s="43">
        <v>46125</v>
      </c>
      <c r="F516" s="26" t="s">
        <v>55</v>
      </c>
      <c r="G516" s="44" t="s">
        <v>770</v>
      </c>
      <c r="H516" s="26" t="s">
        <v>57</v>
      </c>
      <c r="I516" s="44" t="s">
        <v>770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3">
        <v>46196</v>
      </c>
      <c r="O516" s="26" t="s">
        <v>55</v>
      </c>
      <c r="P516" s="44" t="s">
        <v>770</v>
      </c>
      <c r="Q516" s="26" t="s">
        <v>57</v>
      </c>
      <c r="R516" s="44" t="s">
        <v>770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249" priority="15">
      <formula>G5="Yes"</formula>
    </cfRule>
    <cfRule type="expression" dxfId="248" priority="16">
      <formula>G5="No"</formula>
    </cfRule>
    <cfRule type="expression" dxfId="247" priority="17">
      <formula>MOD(ROW(),2)=0</formula>
    </cfRule>
  </conditionalFormatting>
  <conditionalFormatting sqref="H5:H516">
    <cfRule type="expression" dxfId="246" priority="18">
      <formula>H5="Yes"</formula>
    </cfRule>
  </conditionalFormatting>
  <conditionalFormatting sqref="I5:I516">
    <cfRule type="expression" dxfId="245" priority="14">
      <formula>MOD(ROW(),2)=0</formula>
    </cfRule>
  </conditionalFormatting>
  <conditionalFormatting sqref="J5:J516">
    <cfRule type="expression" dxfId="244" priority="19">
      <formula>J5="Yes"</formula>
    </cfRule>
    <cfRule type="expression" dxfId="243" priority="20">
      <formula>J5="No"</formula>
    </cfRule>
  </conditionalFormatting>
  <conditionalFormatting sqref="J5:L5 J7:L52 J54:L211 J213:L300 J302:L516 H5:H516 A5:F516">
    <cfRule type="expression" dxfId="242" priority="21">
      <formula>MOD(ROW(),2)=0</formula>
    </cfRule>
  </conditionalFormatting>
  <conditionalFormatting sqref="M5:M516">
    <cfRule type="expression" dxfId="241" priority="22">
      <formula>M5="✓ OK"</formula>
    </cfRule>
    <cfRule type="expression" dxfId="240" priority="23">
      <formula>M5="❌ Disc"</formula>
    </cfRule>
    <cfRule type="expression" dxfId="239" priority="24">
      <formula>M5="⚠ Missing"</formula>
    </cfRule>
    <cfRule type="expression" dxfId="238" priority="25">
      <formula>M5="⚠ Check"</formula>
    </cfRule>
  </conditionalFormatting>
  <conditionalFormatting sqref="M5 J6:M6 M7:M52 J53:M53 M54:M211 J212:M212 M213:M300 J301:M301 M302:M516 W5:AW516 V5 S6:V6 V7:V52 S53:V53 V54:V211 S212:V212 V213:V300 S301:V301 V302:V516">
    <cfRule type="expression" dxfId="237" priority="67">
      <formula>MOD(ROW(),2)=0</formula>
    </cfRule>
  </conditionalFormatting>
  <conditionalFormatting sqref="Y5:Y516">
    <cfRule type="expression" dxfId="227" priority="44">
      <formula>Y5="Yes"</formula>
    </cfRule>
    <cfRule type="expression" dxfId="226" priority="45">
      <formula>Y5="No"</formula>
    </cfRule>
  </conditionalFormatting>
  <conditionalFormatting sqref="Z5:Z516">
    <cfRule type="expression" dxfId="225" priority="46">
      <formula>Z5="Yes"</formula>
    </cfRule>
  </conditionalFormatting>
  <conditionalFormatting sqref="AB5:AB516">
    <cfRule type="expression" dxfId="224" priority="47">
      <formula>AB5="Yes"</formula>
    </cfRule>
    <cfRule type="expression" dxfId="223" priority="48">
      <formula>AB5="No"</formula>
    </cfRule>
  </conditionalFormatting>
  <conditionalFormatting sqref="AE5:AE516">
    <cfRule type="expression" dxfId="222" priority="42">
      <formula>AE5="⚠ Missing"</formula>
    </cfRule>
    <cfRule type="expression" dxfId="221" priority="43">
      <formula>AE5="⚠ Check"</formula>
    </cfRule>
    <cfRule type="expression" dxfId="220" priority="40">
      <formula>AE5="✓ OK"</formula>
    </cfRule>
    <cfRule type="expression" dxfId="219" priority="41">
      <formula>AE5="❌ Disc"</formula>
    </cfRule>
  </conditionalFormatting>
  <conditionalFormatting sqref="AH5:AH516">
    <cfRule type="expression" dxfId="218" priority="53">
      <formula>AH5="Yes"</formula>
    </cfRule>
    <cfRule type="expression" dxfId="217" priority="54">
      <formula>AH5="No"</formula>
    </cfRule>
  </conditionalFormatting>
  <conditionalFormatting sqref="AI5:AI516">
    <cfRule type="expression" dxfId="216" priority="55">
      <formula>AI5="Yes"</formula>
    </cfRule>
  </conditionalFormatting>
  <conditionalFormatting sqref="AK5:AK516">
    <cfRule type="expression" dxfId="215" priority="56">
      <formula>AK5="Yes"</formula>
    </cfRule>
    <cfRule type="expression" dxfId="214" priority="57">
      <formula>AK5="No"</formula>
    </cfRule>
  </conditionalFormatting>
  <conditionalFormatting sqref="AN5:AN516">
    <cfRule type="expression" dxfId="213" priority="50">
      <formula>AN5="❌ Disc"</formula>
    </cfRule>
    <cfRule type="expression" dxfId="212" priority="51">
      <formula>AN5="⚠ Missing"</formula>
    </cfRule>
    <cfRule type="expression" dxfId="211" priority="52">
      <formula>AN5="⚠ Check"</formula>
    </cfRule>
    <cfRule type="expression" dxfId="210" priority="49">
      <formula>AN5="✓ OK"</formula>
    </cfRule>
  </conditionalFormatting>
  <conditionalFormatting sqref="AQ5:AQ516">
    <cfRule type="expression" dxfId="209" priority="62">
      <formula>AQ5="Yes"</formula>
    </cfRule>
    <cfRule type="expression" dxfId="208" priority="63">
      <formula>AQ5="No"</formula>
    </cfRule>
  </conditionalFormatting>
  <conditionalFormatting sqref="AR5:AR516">
    <cfRule type="expression" dxfId="207" priority="64">
      <formula>AR5="Yes"</formula>
    </cfRule>
  </conditionalFormatting>
  <conditionalFormatting sqref="AT5:AT516">
    <cfRule type="expression" dxfId="206" priority="65">
      <formula>AT5="Yes"</formula>
    </cfRule>
    <cfRule type="expression" dxfId="205" priority="66">
      <formula>AT5="No"</formula>
    </cfRule>
  </conditionalFormatting>
  <conditionalFormatting sqref="AW5:AW516">
    <cfRule type="expression" dxfId="204" priority="58">
      <formula>AW5="✓ OK"</formula>
    </cfRule>
    <cfRule type="expression" dxfId="203" priority="59">
      <formula>AW5="❌ Disc"</formula>
    </cfRule>
    <cfRule type="expression" dxfId="202" priority="60">
      <formula>AW5="⚠ Missing"</formula>
    </cfRule>
    <cfRule type="expression" dxfId="201" priority="61">
      <formula>AW5="⚠ Check"</formula>
    </cfRule>
  </conditionalFormatting>
  <conditionalFormatting sqref="P5:P516">
    <cfRule type="expression" dxfId="22" priority="3">
      <formula>P5="Yes"</formula>
    </cfRule>
    <cfRule type="expression" dxfId="21" priority="4">
      <formula>P5="No"</formula>
    </cfRule>
    <cfRule type="expression" dxfId="20" priority="5">
      <formula>MOD(ROW(),2)=0</formula>
    </cfRule>
  </conditionalFormatting>
  <conditionalFormatting sqref="Q5:Q516">
    <cfRule type="expression" dxfId="19" priority="6">
      <formula>Q5="Yes"</formula>
    </cfRule>
  </conditionalFormatting>
  <conditionalFormatting sqref="R5:R516">
    <cfRule type="expression" dxfId="18" priority="2">
      <formula>MOD(ROW(),2)=0</formula>
    </cfRule>
  </conditionalFormatting>
  <conditionalFormatting sqref="S5:S516">
    <cfRule type="expression" dxfId="17" priority="7">
      <formula>S5="Yes"</formula>
    </cfRule>
    <cfRule type="expression" dxfId="16" priority="8">
      <formula>S5="No"</formula>
    </cfRule>
  </conditionalFormatting>
  <conditionalFormatting sqref="S5:U5 S7:U52 S54:U211 S213:U300 S302:U516 Q5:Q516 O5:O516">
    <cfRule type="expression" dxfId="15" priority="9">
      <formula>MOD(ROW(),2)=0</formula>
    </cfRule>
  </conditionalFormatting>
  <conditionalFormatting sqref="V5:V516">
    <cfRule type="expression" dxfId="14" priority="10">
      <formula>V5="✓ OK"</formula>
    </cfRule>
    <cfRule type="expression" dxfId="13" priority="11">
      <formula>V5="❌ Disc"</formula>
    </cfRule>
    <cfRule type="expression" dxfId="12" priority="12">
      <formula>V5="⚠ Missing"</formula>
    </cfRule>
    <cfRule type="expression" dxfId="11" priority="13">
      <formula>V5="⚠ Check"</formula>
    </cfRule>
  </conditionalFormatting>
  <conditionalFormatting sqref="N5:N516">
    <cfRule type="expression" dxfId="10" priority="1">
      <formula>MOD(ROW(),2)=0</formula>
    </cfRule>
  </conditionalFormatting>
  <dataValidations count="4">
    <dataValidation type="list" allowBlank="1" sqref="AT5:AT516 AQ5:AR516 AK5:AK516 AH5:AI516 AB5:AB516 Y5:Z516 H5:H516 J5:J516 Q5:Q516 S5:S516" xr:uid="{00000000-0002-0000-0B00-000000000000}">
      <formula1>"Yes,No"</formula1>
    </dataValidation>
    <dataValidation type="list" allowBlank="1" sqref="AA5:AA516 AS5:AS516 AJ5:AJ516" xr:uid="{00000000-0002-0000-0B00-000003000000}">
      <formula1>"Good finish,Minor defect,Major defect,Discontinued,Not Available"</formula1>
    </dataValidation>
    <dataValidation type="list" allowBlank="1" sqref="I5:I516 R5:R516" xr:uid="{046C4388-FF50-42EA-91D0-BC97F17E03FF}">
      <formula1>"Represented by Sample,Good finish,Minor defect,Major defect,Discontinued,Not Available"</formula1>
    </dataValidation>
    <dataValidation type="list" allowBlank="1" sqref="G5:G516 P5:P516" xr:uid="{CC623064-5A22-4AD4-9037-8DE275EBE6C1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tabSelected="1"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D4" sqref="D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5" t="s">
        <v>5645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49" t="s">
        <v>33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50" t="s">
        <v>34</v>
      </c>
      <c r="F3" s="46"/>
      <c r="G3" s="46"/>
      <c r="H3" s="46"/>
      <c r="I3" s="46"/>
      <c r="J3" s="46"/>
      <c r="K3" s="46"/>
      <c r="L3" s="46"/>
      <c r="M3" s="46"/>
      <c r="N3" s="52" t="s">
        <v>35</v>
      </c>
      <c r="O3" s="46"/>
      <c r="P3" s="46"/>
      <c r="Q3" s="46"/>
      <c r="R3" s="46"/>
      <c r="S3" s="46"/>
      <c r="T3" s="46"/>
      <c r="U3" s="46"/>
      <c r="V3" s="46"/>
      <c r="W3" s="48" t="s">
        <v>36</v>
      </c>
      <c r="X3" s="46"/>
      <c r="Y3" s="46"/>
      <c r="Z3" s="46"/>
      <c r="AA3" s="46"/>
      <c r="AB3" s="46"/>
      <c r="AC3" s="46"/>
      <c r="AD3" s="46"/>
      <c r="AE3" s="46"/>
      <c r="AF3" s="51" t="s">
        <v>37</v>
      </c>
      <c r="AG3" s="46"/>
      <c r="AH3" s="46"/>
      <c r="AI3" s="46"/>
      <c r="AJ3" s="46"/>
      <c r="AK3" s="46"/>
      <c r="AL3" s="46"/>
      <c r="AM3" s="46"/>
      <c r="AN3" s="46"/>
      <c r="AO3" s="47" t="s">
        <v>38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5646</v>
      </c>
      <c r="C5" s="25" t="s">
        <v>5647</v>
      </c>
      <c r="D5" s="23" t="s">
        <v>5648</v>
      </c>
      <c r="E5" s="43">
        <v>46125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3">
        <v>46139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5649</v>
      </c>
      <c r="C6" s="41" t="s">
        <v>5650</v>
      </c>
      <c r="D6" s="39" t="s">
        <v>5648</v>
      </c>
      <c r="E6" s="43">
        <v>46125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3">
        <v>46139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5651</v>
      </c>
      <c r="C7" s="25" t="s">
        <v>5652</v>
      </c>
      <c r="D7" s="23" t="s">
        <v>5648</v>
      </c>
      <c r="E7" s="43">
        <v>46125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3">
        <v>46139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5653</v>
      </c>
      <c r="C8" s="41" t="s">
        <v>5654</v>
      </c>
      <c r="D8" s="39" t="s">
        <v>5648</v>
      </c>
      <c r="E8" s="43">
        <v>46125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3">
        <v>46139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5655</v>
      </c>
      <c r="C9" s="25" t="s">
        <v>5656</v>
      </c>
      <c r="D9" s="23" t="s">
        <v>5648</v>
      </c>
      <c r="E9" s="43">
        <v>46125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3">
        <v>46139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5657</v>
      </c>
      <c r="C10" s="41" t="s">
        <v>5658</v>
      </c>
      <c r="D10" s="39" t="s">
        <v>5648</v>
      </c>
      <c r="E10" s="43">
        <v>46125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3">
        <v>46139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5659</v>
      </c>
      <c r="C11" s="25" t="s">
        <v>5660</v>
      </c>
      <c r="D11" s="23" t="s">
        <v>5648</v>
      </c>
      <c r="E11" s="43">
        <v>46125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3">
        <v>46139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5661</v>
      </c>
      <c r="C12" s="41" t="s">
        <v>5662</v>
      </c>
      <c r="D12" s="39" t="s">
        <v>5648</v>
      </c>
      <c r="E12" s="43">
        <v>46125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3">
        <v>46139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5663</v>
      </c>
      <c r="C13" s="25" t="s">
        <v>5664</v>
      </c>
      <c r="D13" s="23" t="s">
        <v>5648</v>
      </c>
      <c r="E13" s="43">
        <v>46125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3">
        <v>46139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5665</v>
      </c>
      <c r="C14" s="41" t="s">
        <v>5666</v>
      </c>
      <c r="D14" s="39" t="s">
        <v>5648</v>
      </c>
      <c r="E14" s="43">
        <v>46125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3">
        <v>46139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5667</v>
      </c>
      <c r="C15" s="25" t="s">
        <v>5668</v>
      </c>
      <c r="D15" s="23" t="s">
        <v>5648</v>
      </c>
      <c r="E15" s="43">
        <v>46125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3">
        <v>46139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5669</v>
      </c>
      <c r="C16" s="41" t="s">
        <v>5670</v>
      </c>
      <c r="D16" s="39" t="s">
        <v>5648</v>
      </c>
      <c r="E16" s="43">
        <v>46125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3">
        <v>46139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5671</v>
      </c>
      <c r="C17" s="25" t="s">
        <v>5672</v>
      </c>
      <c r="D17" s="23" t="s">
        <v>5648</v>
      </c>
      <c r="E17" s="43">
        <v>46125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3">
        <v>46139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5673</v>
      </c>
      <c r="C18" s="41" t="s">
        <v>5674</v>
      </c>
      <c r="D18" s="39" t="s">
        <v>5648</v>
      </c>
      <c r="E18" s="43">
        <v>46125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3">
        <v>46139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5675</v>
      </c>
      <c r="C19" s="25" t="s">
        <v>5676</v>
      </c>
      <c r="D19" s="23" t="s">
        <v>5648</v>
      </c>
      <c r="E19" s="43">
        <v>46125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3">
        <v>46139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5677</v>
      </c>
      <c r="C20" s="41" t="s">
        <v>5678</v>
      </c>
      <c r="D20" s="39" t="s">
        <v>5648</v>
      </c>
      <c r="E20" s="43">
        <v>46125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3">
        <v>46139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5679</v>
      </c>
      <c r="C21" s="25" t="s">
        <v>5680</v>
      </c>
      <c r="D21" s="23" t="s">
        <v>5648</v>
      </c>
      <c r="E21" s="43">
        <v>46125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3">
        <v>46139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5681</v>
      </c>
      <c r="C22" s="41" t="s">
        <v>5682</v>
      </c>
      <c r="D22" s="39" t="s">
        <v>5648</v>
      </c>
      <c r="E22" s="43">
        <v>46125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3">
        <v>46139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5683</v>
      </c>
      <c r="C23" s="25" t="s">
        <v>5684</v>
      </c>
      <c r="D23" s="23" t="s">
        <v>5648</v>
      </c>
      <c r="E23" s="43">
        <v>46125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3">
        <v>46139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5685</v>
      </c>
      <c r="C24" s="41" t="s">
        <v>5686</v>
      </c>
      <c r="D24" s="39" t="s">
        <v>5648</v>
      </c>
      <c r="E24" s="43">
        <v>46125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3">
        <v>46139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5687</v>
      </c>
      <c r="C25" s="25" t="s">
        <v>5688</v>
      </c>
      <c r="D25" s="23" t="s">
        <v>5648</v>
      </c>
      <c r="E25" s="43">
        <v>46125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3">
        <v>46139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5689</v>
      </c>
      <c r="C26" s="41" t="s">
        <v>5690</v>
      </c>
      <c r="D26" s="39" t="s">
        <v>5648</v>
      </c>
      <c r="E26" s="43">
        <v>46125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3">
        <v>46139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5691</v>
      </c>
      <c r="C27" s="25" t="s">
        <v>5692</v>
      </c>
      <c r="D27" s="23" t="s">
        <v>5648</v>
      </c>
      <c r="E27" s="43">
        <v>46125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3">
        <v>46139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5693</v>
      </c>
      <c r="C28" s="41" t="s">
        <v>5694</v>
      </c>
      <c r="D28" s="39" t="s">
        <v>5648</v>
      </c>
      <c r="E28" s="43">
        <v>46125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3">
        <v>46139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5695</v>
      </c>
      <c r="C29" s="25" t="s">
        <v>5696</v>
      </c>
      <c r="D29" s="23" t="s">
        <v>5648</v>
      </c>
      <c r="E29" s="43">
        <v>46125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3">
        <v>46139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5697</v>
      </c>
      <c r="C30" s="41" t="s">
        <v>5698</v>
      </c>
      <c r="D30" s="39" t="s">
        <v>5648</v>
      </c>
      <c r="E30" s="43">
        <v>46125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3">
        <v>46139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5699</v>
      </c>
      <c r="C31" s="25" t="s">
        <v>5700</v>
      </c>
      <c r="D31" s="23" t="s">
        <v>5648</v>
      </c>
      <c r="E31" s="43">
        <v>46125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3">
        <v>46139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5701</v>
      </c>
      <c r="C32" s="41" t="s">
        <v>5702</v>
      </c>
      <c r="D32" s="39" t="s">
        <v>5648</v>
      </c>
      <c r="E32" s="43">
        <v>46125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3">
        <v>46139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5703</v>
      </c>
      <c r="C33" s="25" t="s">
        <v>5704</v>
      </c>
      <c r="D33" s="23" t="s">
        <v>5648</v>
      </c>
      <c r="E33" s="43">
        <v>46125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3">
        <v>46139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5705</v>
      </c>
      <c r="C34" s="41" t="s">
        <v>5706</v>
      </c>
      <c r="D34" s="39" t="s">
        <v>5648</v>
      </c>
      <c r="E34" s="43">
        <v>46125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3">
        <v>46139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5707</v>
      </c>
      <c r="C35" s="25" t="s">
        <v>5708</v>
      </c>
      <c r="D35" s="23" t="s">
        <v>5648</v>
      </c>
      <c r="E35" s="43">
        <v>46125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3">
        <v>46139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5709</v>
      </c>
      <c r="C36" s="41" t="s">
        <v>5710</v>
      </c>
      <c r="D36" s="39" t="s">
        <v>5648</v>
      </c>
      <c r="E36" s="43">
        <v>46125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3">
        <v>46139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5711</v>
      </c>
      <c r="C37" s="25" t="s">
        <v>5712</v>
      </c>
      <c r="D37" s="23" t="s">
        <v>5648</v>
      </c>
      <c r="E37" s="43">
        <v>46125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3">
        <v>46139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5713</v>
      </c>
      <c r="C38" s="41" t="s">
        <v>5714</v>
      </c>
      <c r="D38" s="39" t="s">
        <v>5648</v>
      </c>
      <c r="E38" s="43">
        <v>46125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3">
        <v>46139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5715</v>
      </c>
      <c r="C39" s="25" t="s">
        <v>5716</v>
      </c>
      <c r="D39" s="23" t="s">
        <v>5648</v>
      </c>
      <c r="E39" s="43">
        <v>46125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3">
        <v>46139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5717</v>
      </c>
      <c r="C40" s="41" t="s">
        <v>5718</v>
      </c>
      <c r="D40" s="39" t="s">
        <v>5648</v>
      </c>
      <c r="E40" s="43">
        <v>46125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3">
        <v>46139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5719</v>
      </c>
      <c r="C41" s="25" t="s">
        <v>5720</v>
      </c>
      <c r="D41" s="23" t="s">
        <v>5648</v>
      </c>
      <c r="E41" s="43">
        <v>46125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3">
        <v>46139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5721</v>
      </c>
      <c r="C42" s="41" t="s">
        <v>5722</v>
      </c>
      <c r="D42" s="39" t="s">
        <v>5648</v>
      </c>
      <c r="E42" s="43">
        <v>46125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3">
        <v>46139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5723</v>
      </c>
      <c r="C43" s="25" t="s">
        <v>5724</v>
      </c>
      <c r="D43" s="23" t="s">
        <v>5648</v>
      </c>
      <c r="E43" s="43">
        <v>46125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3">
        <v>46139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5725</v>
      </c>
      <c r="C44" s="41" t="s">
        <v>5726</v>
      </c>
      <c r="D44" s="39" t="s">
        <v>5648</v>
      </c>
      <c r="E44" s="43">
        <v>46125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3">
        <v>46139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5727</v>
      </c>
      <c r="C45" s="25" t="s">
        <v>5728</v>
      </c>
      <c r="D45" s="23" t="s">
        <v>5648</v>
      </c>
      <c r="E45" s="43">
        <v>46125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3">
        <v>46139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5729</v>
      </c>
      <c r="C46" s="41" t="s">
        <v>5730</v>
      </c>
      <c r="D46" s="39" t="s">
        <v>5648</v>
      </c>
      <c r="E46" s="43">
        <v>46125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3">
        <v>46139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5731</v>
      </c>
      <c r="C47" s="25" t="s">
        <v>5732</v>
      </c>
      <c r="D47" s="23" t="s">
        <v>5648</v>
      </c>
      <c r="E47" s="43">
        <v>46125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3">
        <v>46139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5733</v>
      </c>
      <c r="C48" s="41" t="s">
        <v>5734</v>
      </c>
      <c r="D48" s="39" t="s">
        <v>5648</v>
      </c>
      <c r="E48" s="43">
        <v>46125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3">
        <v>46139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5735</v>
      </c>
      <c r="C49" s="25" t="s">
        <v>5736</v>
      </c>
      <c r="D49" s="23" t="s">
        <v>5648</v>
      </c>
      <c r="E49" s="43">
        <v>46125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3">
        <v>46139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5737</v>
      </c>
      <c r="C50" s="41" t="s">
        <v>5738</v>
      </c>
      <c r="D50" s="39" t="s">
        <v>5648</v>
      </c>
      <c r="E50" s="43">
        <v>46125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3">
        <v>46139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5739</v>
      </c>
      <c r="C51" s="25" t="s">
        <v>5740</v>
      </c>
      <c r="D51" s="23" t="s">
        <v>5648</v>
      </c>
      <c r="E51" s="43">
        <v>46125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3">
        <v>46139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5741</v>
      </c>
      <c r="C52" s="41" t="s">
        <v>5742</v>
      </c>
      <c r="D52" s="39" t="s">
        <v>5648</v>
      </c>
      <c r="E52" s="43">
        <v>46125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3">
        <v>46139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5743</v>
      </c>
      <c r="C53" s="25" t="s">
        <v>5744</v>
      </c>
      <c r="D53" s="23" t="s">
        <v>5648</v>
      </c>
      <c r="E53" s="43">
        <v>46125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3">
        <v>46139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5745</v>
      </c>
      <c r="C54" s="41" t="s">
        <v>5746</v>
      </c>
      <c r="D54" s="39" t="s">
        <v>5648</v>
      </c>
      <c r="E54" s="43">
        <v>46125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3">
        <v>46139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5747</v>
      </c>
      <c r="C55" s="25" t="s">
        <v>5748</v>
      </c>
      <c r="D55" s="23" t="s">
        <v>5648</v>
      </c>
      <c r="E55" s="43">
        <v>46125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3">
        <v>46139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5749</v>
      </c>
      <c r="C56" s="41" t="s">
        <v>5750</v>
      </c>
      <c r="D56" s="39" t="s">
        <v>5648</v>
      </c>
      <c r="E56" s="43">
        <v>46125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3">
        <v>46139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5751</v>
      </c>
      <c r="C57" s="25" t="s">
        <v>5752</v>
      </c>
      <c r="D57" s="23" t="s">
        <v>5648</v>
      </c>
      <c r="E57" s="43">
        <v>46125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43">
        <v>46139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5753</v>
      </c>
      <c r="C58" s="41" t="s">
        <v>5754</v>
      </c>
      <c r="D58" s="39" t="s">
        <v>5755</v>
      </c>
      <c r="E58" s="43">
        <v>46125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3">
        <v>46139</v>
      </c>
      <c r="O58" s="26" t="s">
        <v>55</v>
      </c>
      <c r="P58" s="26" t="s">
        <v>57</v>
      </c>
      <c r="Q58" s="26" t="s">
        <v>56</v>
      </c>
      <c r="R58" s="26" t="s">
        <v>6225</v>
      </c>
      <c r="S58" s="26" t="s">
        <v>57</v>
      </c>
      <c r="T58" s="27"/>
      <c r="U58" s="28" t="s">
        <v>57</v>
      </c>
      <c r="V58" s="29" t="str">
        <f t="shared" si="1"/>
        <v>❌ Disc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5756</v>
      </c>
      <c r="C59" s="25" t="s">
        <v>5757</v>
      </c>
      <c r="D59" s="23" t="s">
        <v>5755</v>
      </c>
      <c r="E59" s="43">
        <v>46125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3">
        <v>46139</v>
      </c>
      <c r="O59" s="26" t="s">
        <v>55</v>
      </c>
      <c r="P59" s="26" t="s">
        <v>57</v>
      </c>
      <c r="Q59" s="26" t="s">
        <v>56</v>
      </c>
      <c r="R59" s="26" t="s">
        <v>6225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5758</v>
      </c>
      <c r="C60" s="41" t="s">
        <v>5759</v>
      </c>
      <c r="D60" s="39" t="s">
        <v>5755</v>
      </c>
      <c r="E60" s="43">
        <v>46125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3">
        <v>46139</v>
      </c>
      <c r="O60" s="26" t="s">
        <v>55</v>
      </c>
      <c r="P60" s="26" t="s">
        <v>57</v>
      </c>
      <c r="Q60" s="26" t="s">
        <v>56</v>
      </c>
      <c r="R60" s="26" t="s">
        <v>6225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5760</v>
      </c>
      <c r="C61" s="25" t="s">
        <v>5761</v>
      </c>
      <c r="D61" s="23" t="s">
        <v>5755</v>
      </c>
      <c r="E61" s="43">
        <v>46125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43">
        <v>46139</v>
      </c>
      <c r="O61" s="26" t="s">
        <v>55</v>
      </c>
      <c r="P61" s="26" t="s">
        <v>57</v>
      </c>
      <c r="Q61" s="26" t="s">
        <v>56</v>
      </c>
      <c r="R61" s="26" t="s">
        <v>6225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5762</v>
      </c>
      <c r="C62" s="41" t="s">
        <v>5763</v>
      </c>
      <c r="D62" s="39" t="s">
        <v>5755</v>
      </c>
      <c r="E62" s="43">
        <v>46125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43">
        <v>46139</v>
      </c>
      <c r="O62" s="26" t="s">
        <v>55</v>
      </c>
      <c r="P62" s="26" t="s">
        <v>57</v>
      </c>
      <c r="Q62" s="26" t="s">
        <v>56</v>
      </c>
      <c r="R62" s="26" t="s">
        <v>6225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5764</v>
      </c>
      <c r="C63" s="25" t="s">
        <v>5765</v>
      </c>
      <c r="D63" s="23" t="s">
        <v>5755</v>
      </c>
      <c r="E63" s="43">
        <v>46125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43">
        <v>46139</v>
      </c>
      <c r="O63" s="26" t="s">
        <v>55</v>
      </c>
      <c r="P63" s="26" t="s">
        <v>57</v>
      </c>
      <c r="Q63" s="26" t="s">
        <v>56</v>
      </c>
      <c r="R63" s="26" t="s">
        <v>6225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5766</v>
      </c>
      <c r="C64" s="41" t="s">
        <v>5767</v>
      </c>
      <c r="D64" s="39" t="s">
        <v>5755</v>
      </c>
      <c r="E64" s="43">
        <v>46125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43">
        <v>46139</v>
      </c>
      <c r="O64" s="26" t="s">
        <v>55</v>
      </c>
      <c r="P64" s="26" t="s">
        <v>57</v>
      </c>
      <c r="Q64" s="26" t="s">
        <v>56</v>
      </c>
      <c r="R64" s="26" t="s">
        <v>6225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5768</v>
      </c>
      <c r="C65" s="25" t="s">
        <v>5769</v>
      </c>
      <c r="D65" s="23" t="s">
        <v>5755</v>
      </c>
      <c r="E65" s="43">
        <v>46125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43">
        <v>46139</v>
      </c>
      <c r="O65" s="26" t="s">
        <v>55</v>
      </c>
      <c r="P65" s="26" t="s">
        <v>57</v>
      </c>
      <c r="Q65" s="26" t="s">
        <v>56</v>
      </c>
      <c r="R65" s="26" t="s">
        <v>6225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5770</v>
      </c>
      <c r="C66" s="41" t="s">
        <v>5771</v>
      </c>
      <c r="D66" s="39" t="s">
        <v>5755</v>
      </c>
      <c r="E66" s="43">
        <v>46125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43">
        <v>46139</v>
      </c>
      <c r="O66" s="26" t="s">
        <v>55</v>
      </c>
      <c r="P66" s="26" t="s">
        <v>57</v>
      </c>
      <c r="Q66" s="26" t="s">
        <v>56</v>
      </c>
      <c r="R66" s="26" t="s">
        <v>6225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5772</v>
      </c>
      <c r="C67" s="25" t="s">
        <v>5773</v>
      </c>
      <c r="D67" s="23" t="s">
        <v>5755</v>
      </c>
      <c r="E67" s="43">
        <v>46125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43">
        <v>46139</v>
      </c>
      <c r="O67" s="26" t="s">
        <v>55</v>
      </c>
      <c r="P67" s="26" t="s">
        <v>57</v>
      </c>
      <c r="Q67" s="26" t="s">
        <v>56</v>
      </c>
      <c r="R67" s="26" t="s">
        <v>6225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5774</v>
      </c>
      <c r="C68" s="41" t="s">
        <v>5775</v>
      </c>
      <c r="D68" s="39" t="s">
        <v>5755</v>
      </c>
      <c r="E68" s="43">
        <v>46125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43">
        <v>46139</v>
      </c>
      <c r="O68" s="26" t="s">
        <v>55</v>
      </c>
      <c r="P68" s="26" t="s">
        <v>57</v>
      </c>
      <c r="Q68" s="26" t="s">
        <v>56</v>
      </c>
      <c r="R68" s="26" t="s">
        <v>6225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5776</v>
      </c>
      <c r="C69" s="25" t="s">
        <v>5777</v>
      </c>
      <c r="D69" s="23" t="s">
        <v>5755</v>
      </c>
      <c r="E69" s="43">
        <v>46125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43">
        <v>46139</v>
      </c>
      <c r="O69" s="26" t="s">
        <v>55</v>
      </c>
      <c r="P69" s="26" t="s">
        <v>57</v>
      </c>
      <c r="Q69" s="26" t="s">
        <v>56</v>
      </c>
      <c r="R69" s="26" t="s">
        <v>6225</v>
      </c>
      <c r="S69" s="26" t="s">
        <v>57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❌ Disc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5778</v>
      </c>
      <c r="C70" s="41" t="s">
        <v>5779</v>
      </c>
      <c r="D70" s="39" t="s">
        <v>5755</v>
      </c>
      <c r="E70" s="43">
        <v>46125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43">
        <v>46139</v>
      </c>
      <c r="O70" s="26" t="s">
        <v>55</v>
      </c>
      <c r="P70" s="26" t="s">
        <v>57</v>
      </c>
      <c r="Q70" s="26" t="s">
        <v>56</v>
      </c>
      <c r="R70" s="26" t="s">
        <v>6225</v>
      </c>
      <c r="S70" s="26" t="s">
        <v>57</v>
      </c>
      <c r="T70" s="27"/>
      <c r="U70" s="28" t="s">
        <v>57</v>
      </c>
      <c r="V70" s="29" t="str">
        <f t="shared" si="6"/>
        <v>❌ Disc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5780</v>
      </c>
      <c r="C71" s="25" t="s">
        <v>5781</v>
      </c>
      <c r="D71" s="23" t="s">
        <v>5755</v>
      </c>
      <c r="E71" s="43">
        <v>46125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3">
        <v>46139</v>
      </c>
      <c r="O71" s="26" t="s">
        <v>55</v>
      </c>
      <c r="P71" s="26" t="s">
        <v>57</v>
      </c>
      <c r="Q71" s="26" t="s">
        <v>56</v>
      </c>
      <c r="R71" s="26" t="s">
        <v>6225</v>
      </c>
      <c r="S71" s="26" t="s">
        <v>57</v>
      </c>
      <c r="T71" s="27"/>
      <c r="U71" s="28" t="s">
        <v>57</v>
      </c>
      <c r="V71" s="29" t="str">
        <f t="shared" si="6"/>
        <v>❌ Disc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5782</v>
      </c>
      <c r="C72" s="41" t="s">
        <v>5783</v>
      </c>
      <c r="D72" s="39" t="s">
        <v>5755</v>
      </c>
      <c r="E72" s="43">
        <v>46125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43">
        <v>46139</v>
      </c>
      <c r="O72" s="26" t="s">
        <v>55</v>
      </c>
      <c r="P72" s="26" t="s">
        <v>57</v>
      </c>
      <c r="Q72" s="26" t="s">
        <v>56</v>
      </c>
      <c r="R72" s="26" t="s">
        <v>6225</v>
      </c>
      <c r="S72" s="26" t="s">
        <v>57</v>
      </c>
      <c r="T72" s="27"/>
      <c r="U72" s="28" t="s">
        <v>57</v>
      </c>
      <c r="V72" s="29" t="str">
        <f t="shared" si="6"/>
        <v>❌ Disc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5784</v>
      </c>
      <c r="C73" s="25" t="s">
        <v>5785</v>
      </c>
      <c r="D73" s="23" t="s">
        <v>5755</v>
      </c>
      <c r="E73" s="43">
        <v>46125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43">
        <v>46139</v>
      </c>
      <c r="O73" s="26" t="s">
        <v>55</v>
      </c>
      <c r="P73" s="26" t="s">
        <v>57</v>
      </c>
      <c r="Q73" s="26" t="s">
        <v>56</v>
      </c>
      <c r="R73" s="26" t="s">
        <v>6225</v>
      </c>
      <c r="S73" s="26" t="s">
        <v>57</v>
      </c>
      <c r="T73" s="27"/>
      <c r="U73" s="28" t="s">
        <v>57</v>
      </c>
      <c r="V73" s="29" t="str">
        <f t="shared" si="6"/>
        <v>❌ Disc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5786</v>
      </c>
      <c r="C74" s="41" t="s">
        <v>5787</v>
      </c>
      <c r="D74" s="39" t="s">
        <v>5755</v>
      </c>
      <c r="E74" s="43">
        <v>46125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3">
        <v>46139</v>
      </c>
      <c r="O74" s="26" t="s">
        <v>55</v>
      </c>
      <c r="P74" s="26" t="s">
        <v>57</v>
      </c>
      <c r="Q74" s="26" t="s">
        <v>56</v>
      </c>
      <c r="R74" s="26" t="s">
        <v>6225</v>
      </c>
      <c r="S74" s="26" t="s">
        <v>57</v>
      </c>
      <c r="T74" s="27"/>
      <c r="U74" s="28" t="s">
        <v>57</v>
      </c>
      <c r="V74" s="29" t="str">
        <f t="shared" si="6"/>
        <v>❌ Disc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5788</v>
      </c>
      <c r="C75" s="25" t="s">
        <v>5789</v>
      </c>
      <c r="D75" s="23" t="s">
        <v>5755</v>
      </c>
      <c r="E75" s="43">
        <v>46125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3">
        <v>46139</v>
      </c>
      <c r="O75" s="26" t="s">
        <v>55</v>
      </c>
      <c r="P75" s="26" t="s">
        <v>57</v>
      </c>
      <c r="Q75" s="26" t="s">
        <v>56</v>
      </c>
      <c r="R75" s="26" t="s">
        <v>6225</v>
      </c>
      <c r="S75" s="26" t="s">
        <v>57</v>
      </c>
      <c r="T75" s="27"/>
      <c r="U75" s="28" t="s">
        <v>57</v>
      </c>
      <c r="V75" s="29" t="str">
        <f t="shared" si="6"/>
        <v>❌ Disc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5790</v>
      </c>
      <c r="C76" s="41" t="s">
        <v>5791</v>
      </c>
      <c r="D76" s="39" t="s">
        <v>5755</v>
      </c>
      <c r="E76" s="43">
        <v>46125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3">
        <v>46139</v>
      </c>
      <c r="O76" s="26" t="s">
        <v>55</v>
      </c>
      <c r="P76" s="26" t="s">
        <v>57</v>
      </c>
      <c r="Q76" s="26" t="s">
        <v>56</v>
      </c>
      <c r="R76" s="26" t="s">
        <v>6225</v>
      </c>
      <c r="S76" s="26" t="s">
        <v>57</v>
      </c>
      <c r="T76" s="27"/>
      <c r="U76" s="28" t="s">
        <v>57</v>
      </c>
      <c r="V76" s="29" t="str">
        <f t="shared" si="6"/>
        <v>❌ Disc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5792</v>
      </c>
      <c r="C77" s="25" t="s">
        <v>5793</v>
      </c>
      <c r="D77" s="23" t="s">
        <v>5755</v>
      </c>
      <c r="E77" s="43">
        <v>46125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3">
        <v>46139</v>
      </c>
      <c r="O77" s="26" t="s">
        <v>55</v>
      </c>
      <c r="P77" s="26" t="s">
        <v>57</v>
      </c>
      <c r="Q77" s="26" t="s">
        <v>56</v>
      </c>
      <c r="R77" s="26" t="s">
        <v>6225</v>
      </c>
      <c r="S77" s="26" t="s">
        <v>57</v>
      </c>
      <c r="T77" s="27"/>
      <c r="U77" s="28" t="s">
        <v>57</v>
      </c>
      <c r="V77" s="29" t="str">
        <f t="shared" si="6"/>
        <v>❌ Disc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5794</v>
      </c>
      <c r="C78" s="41" t="s">
        <v>5795</v>
      </c>
      <c r="D78" s="39" t="s">
        <v>5755</v>
      </c>
      <c r="E78" s="43">
        <v>46125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43">
        <v>46139</v>
      </c>
      <c r="O78" s="26" t="s">
        <v>55</v>
      </c>
      <c r="P78" s="26" t="s">
        <v>57</v>
      </c>
      <c r="Q78" s="26" t="s">
        <v>56</v>
      </c>
      <c r="R78" s="26" t="s">
        <v>6225</v>
      </c>
      <c r="S78" s="26" t="s">
        <v>57</v>
      </c>
      <c r="T78" s="27"/>
      <c r="U78" s="28" t="s">
        <v>57</v>
      </c>
      <c r="V78" s="29" t="str">
        <f t="shared" si="6"/>
        <v>❌ Disc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5796</v>
      </c>
      <c r="C79" s="25" t="s">
        <v>5797</v>
      </c>
      <c r="D79" s="23" t="s">
        <v>5755</v>
      </c>
      <c r="E79" s="43">
        <v>46125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43">
        <v>46139</v>
      </c>
      <c r="O79" s="26" t="s">
        <v>55</v>
      </c>
      <c r="P79" s="26" t="s">
        <v>57</v>
      </c>
      <c r="Q79" s="26" t="s">
        <v>56</v>
      </c>
      <c r="R79" s="26" t="s">
        <v>6225</v>
      </c>
      <c r="S79" s="26" t="s">
        <v>57</v>
      </c>
      <c r="T79" s="27"/>
      <c r="U79" s="28" t="s">
        <v>57</v>
      </c>
      <c r="V79" s="29" t="str">
        <f t="shared" si="6"/>
        <v>❌ Disc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5798</v>
      </c>
      <c r="C80" s="41" t="s">
        <v>5799</v>
      </c>
      <c r="D80" s="39" t="s">
        <v>5755</v>
      </c>
      <c r="E80" s="43">
        <v>46125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3">
        <v>46139</v>
      </c>
      <c r="O80" s="26" t="s">
        <v>55</v>
      </c>
      <c r="P80" s="26" t="s">
        <v>57</v>
      </c>
      <c r="Q80" s="26" t="s">
        <v>56</v>
      </c>
      <c r="R80" s="26" t="s">
        <v>6225</v>
      </c>
      <c r="S80" s="26" t="s">
        <v>57</v>
      </c>
      <c r="T80" s="27"/>
      <c r="U80" s="28" t="s">
        <v>57</v>
      </c>
      <c r="V80" s="29" t="str">
        <f t="shared" si="6"/>
        <v>❌ Disc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5800</v>
      </c>
      <c r="C81" s="25" t="s">
        <v>5801</v>
      </c>
      <c r="D81" s="23" t="s">
        <v>5755</v>
      </c>
      <c r="E81" s="43">
        <v>46125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43">
        <v>46139</v>
      </c>
      <c r="O81" s="26" t="s">
        <v>55</v>
      </c>
      <c r="P81" s="26" t="s">
        <v>57</v>
      </c>
      <c r="Q81" s="26" t="s">
        <v>56</v>
      </c>
      <c r="R81" s="26" t="s">
        <v>6225</v>
      </c>
      <c r="S81" s="26" t="s">
        <v>57</v>
      </c>
      <c r="T81" s="27"/>
      <c r="U81" s="28" t="s">
        <v>57</v>
      </c>
      <c r="V81" s="29" t="str">
        <f t="shared" si="6"/>
        <v>❌ Disc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5802</v>
      </c>
      <c r="C82" s="41" t="s">
        <v>5803</v>
      </c>
      <c r="D82" s="39" t="s">
        <v>5755</v>
      </c>
      <c r="E82" s="43">
        <v>46125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43">
        <v>46139</v>
      </c>
      <c r="O82" s="26" t="s">
        <v>55</v>
      </c>
      <c r="P82" s="26" t="s">
        <v>57</v>
      </c>
      <c r="Q82" s="26" t="s">
        <v>56</v>
      </c>
      <c r="R82" s="26" t="s">
        <v>6225</v>
      </c>
      <c r="S82" s="26" t="s">
        <v>57</v>
      </c>
      <c r="T82" s="27"/>
      <c r="U82" s="28" t="s">
        <v>57</v>
      </c>
      <c r="V82" s="29" t="str">
        <f t="shared" si="6"/>
        <v>❌ Disc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5804</v>
      </c>
      <c r="C83" s="25" t="s">
        <v>5805</v>
      </c>
      <c r="D83" s="23" t="s">
        <v>5755</v>
      </c>
      <c r="E83" s="43">
        <v>46125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3">
        <v>46139</v>
      </c>
      <c r="O83" s="26" t="s">
        <v>55</v>
      </c>
      <c r="P83" s="26" t="s">
        <v>57</v>
      </c>
      <c r="Q83" s="26" t="s">
        <v>56</v>
      </c>
      <c r="R83" s="26" t="s">
        <v>6225</v>
      </c>
      <c r="S83" s="26" t="s">
        <v>57</v>
      </c>
      <c r="T83" s="27"/>
      <c r="U83" s="28" t="s">
        <v>57</v>
      </c>
      <c r="V83" s="29" t="str">
        <f t="shared" si="6"/>
        <v>❌ Disc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5806</v>
      </c>
      <c r="C84" s="41" t="s">
        <v>5807</v>
      </c>
      <c r="D84" s="39" t="s">
        <v>5755</v>
      </c>
      <c r="E84" s="43">
        <v>46125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43">
        <v>46139</v>
      </c>
      <c r="O84" s="26" t="s">
        <v>55</v>
      </c>
      <c r="P84" s="26" t="s">
        <v>57</v>
      </c>
      <c r="Q84" s="26" t="s">
        <v>56</v>
      </c>
      <c r="R84" s="26" t="s">
        <v>6225</v>
      </c>
      <c r="S84" s="26" t="s">
        <v>57</v>
      </c>
      <c r="T84" s="27"/>
      <c r="U84" s="28" t="s">
        <v>57</v>
      </c>
      <c r="V84" s="29" t="str">
        <f t="shared" si="6"/>
        <v>❌ Disc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5808</v>
      </c>
      <c r="C85" s="25" t="s">
        <v>5809</v>
      </c>
      <c r="D85" s="23" t="s">
        <v>5755</v>
      </c>
      <c r="E85" s="43">
        <v>46125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3">
        <v>46139</v>
      </c>
      <c r="O85" s="26" t="s">
        <v>55</v>
      </c>
      <c r="P85" s="26" t="s">
        <v>57</v>
      </c>
      <c r="Q85" s="26" t="s">
        <v>56</v>
      </c>
      <c r="R85" s="26" t="s">
        <v>6225</v>
      </c>
      <c r="S85" s="26" t="s">
        <v>57</v>
      </c>
      <c r="T85" s="27"/>
      <c r="U85" s="28" t="s">
        <v>57</v>
      </c>
      <c r="V85" s="29" t="str">
        <f t="shared" si="6"/>
        <v>❌ Disc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5810</v>
      </c>
      <c r="C86" s="41" t="s">
        <v>5811</v>
      </c>
      <c r="D86" s="39" t="s">
        <v>5755</v>
      </c>
      <c r="E86" s="43">
        <v>46125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43">
        <v>46139</v>
      </c>
      <c r="O86" s="26" t="s">
        <v>55</v>
      </c>
      <c r="P86" s="26" t="s">
        <v>57</v>
      </c>
      <c r="Q86" s="26" t="s">
        <v>56</v>
      </c>
      <c r="R86" s="26" t="s">
        <v>6225</v>
      </c>
      <c r="S86" s="26" t="s">
        <v>57</v>
      </c>
      <c r="T86" s="27"/>
      <c r="U86" s="28" t="s">
        <v>57</v>
      </c>
      <c r="V86" s="29" t="str">
        <f t="shared" si="6"/>
        <v>❌ Disc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5812</v>
      </c>
      <c r="C87" s="25" t="s">
        <v>5813</v>
      </c>
      <c r="D87" s="23" t="s">
        <v>5755</v>
      </c>
      <c r="E87" s="43">
        <v>46125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43">
        <v>46139</v>
      </c>
      <c r="O87" s="26" t="s">
        <v>55</v>
      </c>
      <c r="P87" s="26" t="s">
        <v>57</v>
      </c>
      <c r="Q87" s="26" t="s">
        <v>56</v>
      </c>
      <c r="R87" s="26" t="s">
        <v>6225</v>
      </c>
      <c r="S87" s="26" t="s">
        <v>57</v>
      </c>
      <c r="T87" s="27"/>
      <c r="U87" s="28" t="s">
        <v>57</v>
      </c>
      <c r="V87" s="29" t="str">
        <f t="shared" si="6"/>
        <v>❌ Disc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5814</v>
      </c>
      <c r="C88" s="41" t="s">
        <v>5815</v>
      </c>
      <c r="D88" s="39" t="s">
        <v>5755</v>
      </c>
      <c r="E88" s="43">
        <v>46125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3">
        <v>46139</v>
      </c>
      <c r="O88" s="26" t="s">
        <v>55</v>
      </c>
      <c r="P88" s="26" t="s">
        <v>57</v>
      </c>
      <c r="Q88" s="26" t="s">
        <v>56</v>
      </c>
      <c r="R88" s="26" t="s">
        <v>6225</v>
      </c>
      <c r="S88" s="26" t="s">
        <v>57</v>
      </c>
      <c r="T88" s="27"/>
      <c r="U88" s="28" t="s">
        <v>57</v>
      </c>
      <c r="V88" s="29" t="str">
        <f t="shared" si="6"/>
        <v>❌ Disc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5816</v>
      </c>
      <c r="C89" s="25" t="s">
        <v>5817</v>
      </c>
      <c r="D89" s="23" t="s">
        <v>5755</v>
      </c>
      <c r="E89" s="43">
        <v>46125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3">
        <v>46139</v>
      </c>
      <c r="O89" s="26" t="s">
        <v>55</v>
      </c>
      <c r="P89" s="26" t="s">
        <v>57</v>
      </c>
      <c r="Q89" s="26" t="s">
        <v>56</v>
      </c>
      <c r="R89" s="26" t="s">
        <v>6225</v>
      </c>
      <c r="S89" s="26" t="s">
        <v>57</v>
      </c>
      <c r="T89" s="27"/>
      <c r="U89" s="28" t="s">
        <v>57</v>
      </c>
      <c r="V89" s="29" t="str">
        <f t="shared" si="6"/>
        <v>❌ Disc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5818</v>
      </c>
      <c r="C90" s="41" t="s">
        <v>5819</v>
      </c>
      <c r="D90" s="39" t="s">
        <v>5755</v>
      </c>
      <c r="E90" s="43">
        <v>46125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3">
        <v>46139</v>
      </c>
      <c r="O90" s="26" t="s">
        <v>55</v>
      </c>
      <c r="P90" s="26" t="s">
        <v>57</v>
      </c>
      <c r="Q90" s="26" t="s">
        <v>56</v>
      </c>
      <c r="R90" s="26" t="s">
        <v>6225</v>
      </c>
      <c r="S90" s="26" t="s">
        <v>57</v>
      </c>
      <c r="T90" s="27"/>
      <c r="U90" s="28" t="s">
        <v>57</v>
      </c>
      <c r="V90" s="29" t="str">
        <f t="shared" si="6"/>
        <v>❌ Disc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5820</v>
      </c>
      <c r="C91" s="25" t="s">
        <v>5821</v>
      </c>
      <c r="D91" s="23" t="s">
        <v>5755</v>
      </c>
      <c r="E91" s="43">
        <v>46125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3">
        <v>46139</v>
      </c>
      <c r="O91" s="26" t="s">
        <v>55</v>
      </c>
      <c r="P91" s="26" t="s">
        <v>57</v>
      </c>
      <c r="Q91" s="26" t="s">
        <v>56</v>
      </c>
      <c r="R91" s="26" t="s">
        <v>6225</v>
      </c>
      <c r="S91" s="26" t="s">
        <v>57</v>
      </c>
      <c r="T91" s="27"/>
      <c r="U91" s="28" t="s">
        <v>57</v>
      </c>
      <c r="V91" s="29" t="str">
        <f t="shared" si="6"/>
        <v>❌ Disc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5822</v>
      </c>
      <c r="C92" s="41" t="s">
        <v>5823</v>
      </c>
      <c r="D92" s="39" t="s">
        <v>5755</v>
      </c>
      <c r="E92" s="43">
        <v>46125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3">
        <v>46139</v>
      </c>
      <c r="O92" s="26" t="s">
        <v>55</v>
      </c>
      <c r="P92" s="26" t="s">
        <v>57</v>
      </c>
      <c r="Q92" s="26" t="s">
        <v>56</v>
      </c>
      <c r="R92" s="26" t="s">
        <v>6225</v>
      </c>
      <c r="S92" s="26" t="s">
        <v>57</v>
      </c>
      <c r="T92" s="27"/>
      <c r="U92" s="28" t="s">
        <v>57</v>
      </c>
      <c r="V92" s="29" t="str">
        <f t="shared" si="6"/>
        <v>❌ Disc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5824</v>
      </c>
      <c r="C93" s="25" t="s">
        <v>5825</v>
      </c>
      <c r="D93" s="23" t="s">
        <v>5755</v>
      </c>
      <c r="E93" s="43">
        <v>46125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3">
        <v>46139</v>
      </c>
      <c r="O93" s="26" t="s">
        <v>55</v>
      </c>
      <c r="P93" s="26" t="s">
        <v>57</v>
      </c>
      <c r="Q93" s="26" t="s">
        <v>56</v>
      </c>
      <c r="R93" s="26" t="s">
        <v>6225</v>
      </c>
      <c r="S93" s="26" t="s">
        <v>57</v>
      </c>
      <c r="T93" s="27"/>
      <c r="U93" s="28" t="s">
        <v>57</v>
      </c>
      <c r="V93" s="29" t="str">
        <f t="shared" si="6"/>
        <v>❌ Disc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5826</v>
      </c>
      <c r="C94" s="41" t="s">
        <v>5827</v>
      </c>
      <c r="D94" s="39" t="s">
        <v>5755</v>
      </c>
      <c r="E94" s="43">
        <v>46125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3">
        <v>46139</v>
      </c>
      <c r="O94" s="26" t="s">
        <v>55</v>
      </c>
      <c r="P94" s="26" t="s">
        <v>57</v>
      </c>
      <c r="Q94" s="26" t="s">
        <v>56</v>
      </c>
      <c r="R94" s="26" t="s">
        <v>6225</v>
      </c>
      <c r="S94" s="26" t="s">
        <v>57</v>
      </c>
      <c r="T94" s="27"/>
      <c r="U94" s="28" t="s">
        <v>57</v>
      </c>
      <c r="V94" s="29" t="str">
        <f t="shared" si="6"/>
        <v>❌ Disc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5828</v>
      </c>
      <c r="C95" s="25" t="s">
        <v>5829</v>
      </c>
      <c r="D95" s="23" t="s">
        <v>5755</v>
      </c>
      <c r="E95" s="43">
        <v>46125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3">
        <v>46139</v>
      </c>
      <c r="O95" s="26" t="s">
        <v>55</v>
      </c>
      <c r="P95" s="26" t="s">
        <v>57</v>
      </c>
      <c r="Q95" s="26" t="s">
        <v>56</v>
      </c>
      <c r="R95" s="26" t="s">
        <v>6225</v>
      </c>
      <c r="S95" s="26" t="s">
        <v>57</v>
      </c>
      <c r="T95" s="27"/>
      <c r="U95" s="28" t="s">
        <v>57</v>
      </c>
      <c r="V95" s="29" t="str">
        <f t="shared" si="6"/>
        <v>❌ Disc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5830</v>
      </c>
      <c r="C96" s="41" t="s">
        <v>5831</v>
      </c>
      <c r="D96" s="39" t="s">
        <v>5755</v>
      </c>
      <c r="E96" s="43">
        <v>46125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3">
        <v>46139</v>
      </c>
      <c r="O96" s="26" t="s">
        <v>55</v>
      </c>
      <c r="P96" s="26" t="s">
        <v>57</v>
      </c>
      <c r="Q96" s="26" t="s">
        <v>56</v>
      </c>
      <c r="R96" s="26" t="s">
        <v>6225</v>
      </c>
      <c r="S96" s="26" t="s">
        <v>57</v>
      </c>
      <c r="T96" s="27"/>
      <c r="U96" s="28" t="s">
        <v>57</v>
      </c>
      <c r="V96" s="29" t="str">
        <f t="shared" si="6"/>
        <v>❌ Disc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5832</v>
      </c>
      <c r="C97" s="25" t="s">
        <v>5833</v>
      </c>
      <c r="D97" s="23" t="s">
        <v>5755</v>
      </c>
      <c r="E97" s="43">
        <v>46125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3">
        <v>46139</v>
      </c>
      <c r="O97" s="26" t="s">
        <v>55</v>
      </c>
      <c r="P97" s="26" t="s">
        <v>57</v>
      </c>
      <c r="Q97" s="26" t="s">
        <v>56</v>
      </c>
      <c r="R97" s="26" t="s">
        <v>6225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5834</v>
      </c>
      <c r="C98" s="41" t="s">
        <v>5835</v>
      </c>
      <c r="D98" s="39" t="s">
        <v>5836</v>
      </c>
      <c r="E98" s="43">
        <v>46125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3">
        <v>46139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5837</v>
      </c>
      <c r="C99" s="25" t="s">
        <v>5838</v>
      </c>
      <c r="D99" s="23" t="s">
        <v>5836</v>
      </c>
      <c r="E99" s="43">
        <v>46125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3">
        <v>46139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5839</v>
      </c>
      <c r="C100" s="41" t="s">
        <v>5840</v>
      </c>
      <c r="D100" s="39" t="s">
        <v>5836</v>
      </c>
      <c r="E100" s="43">
        <v>46125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3">
        <v>46139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5841</v>
      </c>
      <c r="C101" s="25" t="s">
        <v>5842</v>
      </c>
      <c r="D101" s="23" t="s">
        <v>5836</v>
      </c>
      <c r="E101" s="43">
        <v>46125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3">
        <v>46139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5843</v>
      </c>
      <c r="C102" s="41" t="s">
        <v>5844</v>
      </c>
      <c r="D102" s="39" t="s">
        <v>5836</v>
      </c>
      <c r="E102" s="43">
        <v>46125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3">
        <v>46139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5845</v>
      </c>
      <c r="C103" s="25" t="s">
        <v>5846</v>
      </c>
      <c r="D103" s="23" t="s">
        <v>5836</v>
      </c>
      <c r="E103" s="43">
        <v>46125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3">
        <v>46139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5847</v>
      </c>
      <c r="C104" s="41" t="s">
        <v>5848</v>
      </c>
      <c r="D104" s="39" t="s">
        <v>5836</v>
      </c>
      <c r="E104" s="43">
        <v>46125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3">
        <v>46139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5849</v>
      </c>
      <c r="C105" s="25" t="s">
        <v>5850</v>
      </c>
      <c r="D105" s="23" t="s">
        <v>5836</v>
      </c>
      <c r="E105" s="43">
        <v>46125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3">
        <v>46139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5851</v>
      </c>
      <c r="C106" s="41" t="s">
        <v>5852</v>
      </c>
      <c r="D106" s="39" t="s">
        <v>5836</v>
      </c>
      <c r="E106" s="43">
        <v>46125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3">
        <v>46139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5853</v>
      </c>
      <c r="C107" s="25" t="s">
        <v>5854</v>
      </c>
      <c r="D107" s="23" t="s">
        <v>5836</v>
      </c>
      <c r="E107" s="43">
        <v>46125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3">
        <v>46139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5855</v>
      </c>
      <c r="C108" s="41" t="s">
        <v>5856</v>
      </c>
      <c r="D108" s="39" t="s">
        <v>5836</v>
      </c>
      <c r="E108" s="43">
        <v>46125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3">
        <v>46139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5857</v>
      </c>
      <c r="C109" s="25" t="s">
        <v>5858</v>
      </c>
      <c r="D109" s="23" t="s">
        <v>5836</v>
      </c>
      <c r="E109" s="43">
        <v>46125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3">
        <v>46139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5859</v>
      </c>
      <c r="C110" s="41" t="s">
        <v>5860</v>
      </c>
      <c r="D110" s="39" t="s">
        <v>5836</v>
      </c>
      <c r="E110" s="43">
        <v>46125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3">
        <v>46139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5861</v>
      </c>
      <c r="C111" s="25" t="s">
        <v>5862</v>
      </c>
      <c r="D111" s="23" t="s">
        <v>5836</v>
      </c>
      <c r="E111" s="43">
        <v>46125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3">
        <v>46139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5863</v>
      </c>
      <c r="C112" s="41" t="s">
        <v>5864</v>
      </c>
      <c r="D112" s="39" t="s">
        <v>5836</v>
      </c>
      <c r="E112" s="43">
        <v>46125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3">
        <v>46139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5865</v>
      </c>
      <c r="C113" s="25" t="s">
        <v>5866</v>
      </c>
      <c r="D113" s="23" t="s">
        <v>5836</v>
      </c>
      <c r="E113" s="43">
        <v>46125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3">
        <v>46139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5867</v>
      </c>
      <c r="C114" s="41" t="s">
        <v>5868</v>
      </c>
      <c r="D114" s="39" t="s">
        <v>5836</v>
      </c>
      <c r="E114" s="43">
        <v>46125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3">
        <v>46139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5869</v>
      </c>
      <c r="C115" s="25" t="s">
        <v>5870</v>
      </c>
      <c r="D115" s="23" t="s">
        <v>5836</v>
      </c>
      <c r="E115" s="43">
        <v>46125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3">
        <v>46139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5871</v>
      </c>
      <c r="C116" s="41" t="s">
        <v>5872</v>
      </c>
      <c r="D116" s="39" t="s">
        <v>5836</v>
      </c>
      <c r="E116" s="43">
        <v>46125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3">
        <v>46139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5873</v>
      </c>
      <c r="C117" s="25" t="s">
        <v>5874</v>
      </c>
      <c r="D117" s="23" t="s">
        <v>5836</v>
      </c>
      <c r="E117" s="43">
        <v>46125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3">
        <v>46139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5875</v>
      </c>
      <c r="C118" s="41" t="s">
        <v>5876</v>
      </c>
      <c r="D118" s="39" t="s">
        <v>5836</v>
      </c>
      <c r="E118" s="43">
        <v>46125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3">
        <v>46139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5877</v>
      </c>
      <c r="C119" s="25" t="s">
        <v>5878</v>
      </c>
      <c r="D119" s="23" t="s">
        <v>5836</v>
      </c>
      <c r="E119" s="43">
        <v>46125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3">
        <v>46139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5879</v>
      </c>
      <c r="C120" s="41" t="s">
        <v>5880</v>
      </c>
      <c r="D120" s="39" t="s">
        <v>5836</v>
      </c>
      <c r="E120" s="43">
        <v>46125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3">
        <v>46139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5881</v>
      </c>
      <c r="C121" s="25" t="s">
        <v>5882</v>
      </c>
      <c r="D121" s="23" t="s">
        <v>5836</v>
      </c>
      <c r="E121" s="43">
        <v>46125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3">
        <v>46139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5883</v>
      </c>
      <c r="C122" s="41" t="s">
        <v>5884</v>
      </c>
      <c r="D122" s="39" t="s">
        <v>5836</v>
      </c>
      <c r="E122" s="43">
        <v>46125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3">
        <v>46139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5885</v>
      </c>
      <c r="C123" s="25" t="s">
        <v>5886</v>
      </c>
      <c r="D123" s="23" t="s">
        <v>5836</v>
      </c>
      <c r="E123" s="43">
        <v>46125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3">
        <v>46139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5887</v>
      </c>
      <c r="C124" s="41" t="s">
        <v>5888</v>
      </c>
      <c r="D124" s="39" t="s">
        <v>5836</v>
      </c>
      <c r="E124" s="43">
        <v>46125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3">
        <v>46139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5889</v>
      </c>
      <c r="C125" s="25" t="s">
        <v>5890</v>
      </c>
      <c r="D125" s="23" t="s">
        <v>5836</v>
      </c>
      <c r="E125" s="43">
        <v>46125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3">
        <v>46139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5891</v>
      </c>
      <c r="C126" s="41" t="s">
        <v>5892</v>
      </c>
      <c r="D126" s="39" t="s">
        <v>5836</v>
      </c>
      <c r="E126" s="43">
        <v>46125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3">
        <v>46139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5893</v>
      </c>
      <c r="C127" s="25" t="s">
        <v>5894</v>
      </c>
      <c r="D127" s="23" t="s">
        <v>5836</v>
      </c>
      <c r="E127" s="43">
        <v>46125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3">
        <v>46139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5895</v>
      </c>
      <c r="C128" s="41" t="s">
        <v>5896</v>
      </c>
      <c r="D128" s="39" t="s">
        <v>5836</v>
      </c>
      <c r="E128" s="43">
        <v>46125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3">
        <v>46139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5897</v>
      </c>
      <c r="C129" s="25" t="s">
        <v>5898</v>
      </c>
      <c r="D129" s="23" t="s">
        <v>5836</v>
      </c>
      <c r="E129" s="43">
        <v>46125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3">
        <v>46139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5899</v>
      </c>
      <c r="C130" s="41" t="s">
        <v>5900</v>
      </c>
      <c r="D130" s="39" t="s">
        <v>5836</v>
      </c>
      <c r="E130" s="43">
        <v>46125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3">
        <v>46139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5901</v>
      </c>
      <c r="C131" s="25" t="s">
        <v>5902</v>
      </c>
      <c r="D131" s="23" t="s">
        <v>5836</v>
      </c>
      <c r="E131" s="43">
        <v>46125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3">
        <v>46139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5903</v>
      </c>
      <c r="C132" s="41" t="s">
        <v>5904</v>
      </c>
      <c r="D132" s="39" t="s">
        <v>5836</v>
      </c>
      <c r="E132" s="43">
        <v>46125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3">
        <v>46139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5905</v>
      </c>
      <c r="C133" s="25" t="s">
        <v>5906</v>
      </c>
      <c r="D133" s="23" t="s">
        <v>5836</v>
      </c>
      <c r="E133" s="43">
        <v>46125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3">
        <v>46139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5907</v>
      </c>
      <c r="C134" s="41" t="s">
        <v>5908</v>
      </c>
      <c r="D134" s="39" t="s">
        <v>5836</v>
      </c>
      <c r="E134" s="43">
        <v>46125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3">
        <v>46139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5909</v>
      </c>
      <c r="C135" s="25" t="s">
        <v>5910</v>
      </c>
      <c r="D135" s="23" t="s">
        <v>5836</v>
      </c>
      <c r="E135" s="43">
        <v>46125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3">
        <v>46139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5911</v>
      </c>
      <c r="C136" s="41" t="s">
        <v>5912</v>
      </c>
      <c r="D136" s="39" t="s">
        <v>5836</v>
      </c>
      <c r="E136" s="43">
        <v>46125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3">
        <v>46139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5913</v>
      </c>
      <c r="C137" s="25" t="s">
        <v>5914</v>
      </c>
      <c r="D137" s="23" t="s">
        <v>5836</v>
      </c>
      <c r="E137" s="43">
        <v>46125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3">
        <v>46139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5915</v>
      </c>
      <c r="C138" s="41" t="s">
        <v>5916</v>
      </c>
      <c r="D138" s="39" t="s">
        <v>5836</v>
      </c>
      <c r="E138" s="43">
        <v>46125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3">
        <v>46139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5917</v>
      </c>
      <c r="C139" s="25" t="s">
        <v>5918</v>
      </c>
      <c r="D139" s="23" t="s">
        <v>5836</v>
      </c>
      <c r="E139" s="43">
        <v>46125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3">
        <v>46139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5919</v>
      </c>
      <c r="C140" s="41" t="s">
        <v>5920</v>
      </c>
      <c r="D140" s="39" t="s">
        <v>5836</v>
      </c>
      <c r="E140" s="43">
        <v>46125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3">
        <v>46139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5921</v>
      </c>
      <c r="C141" s="25" t="s">
        <v>5922</v>
      </c>
      <c r="D141" s="23" t="s">
        <v>5836</v>
      </c>
      <c r="E141" s="43">
        <v>46125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3">
        <v>46139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5923</v>
      </c>
      <c r="C142" s="41" t="s">
        <v>5924</v>
      </c>
      <c r="D142" s="39" t="s">
        <v>5836</v>
      </c>
      <c r="E142" s="43">
        <v>46125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3">
        <v>46139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5925</v>
      </c>
      <c r="C143" s="25" t="s">
        <v>5926</v>
      </c>
      <c r="D143" s="23" t="s">
        <v>5836</v>
      </c>
      <c r="E143" s="43">
        <v>46125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3">
        <v>46139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5927</v>
      </c>
      <c r="C144" s="41" t="s">
        <v>5928</v>
      </c>
      <c r="D144" s="39" t="s">
        <v>5836</v>
      </c>
      <c r="E144" s="43">
        <v>46125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3">
        <v>46139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5929</v>
      </c>
      <c r="C145" s="25" t="s">
        <v>5930</v>
      </c>
      <c r="D145" s="23" t="s">
        <v>5836</v>
      </c>
      <c r="E145" s="43">
        <v>46125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3">
        <v>46139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5931</v>
      </c>
      <c r="C146" s="41" t="s">
        <v>5932</v>
      </c>
      <c r="D146" s="39" t="s">
        <v>5836</v>
      </c>
      <c r="E146" s="43">
        <v>46125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3">
        <v>46139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5933</v>
      </c>
      <c r="C147" s="25" t="s">
        <v>5934</v>
      </c>
      <c r="D147" s="23" t="s">
        <v>5836</v>
      </c>
      <c r="E147" s="43">
        <v>46125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3">
        <v>46139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5935</v>
      </c>
      <c r="C148" s="41" t="s">
        <v>5936</v>
      </c>
      <c r="D148" s="39" t="s">
        <v>5836</v>
      </c>
      <c r="E148" s="43">
        <v>46125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3">
        <v>46139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5937</v>
      </c>
      <c r="C149" s="25" t="s">
        <v>5938</v>
      </c>
      <c r="D149" s="23" t="s">
        <v>5836</v>
      </c>
      <c r="E149" s="43">
        <v>46125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3">
        <v>46139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5939</v>
      </c>
      <c r="C150" s="41" t="s">
        <v>5940</v>
      </c>
      <c r="D150" s="39" t="s">
        <v>5836</v>
      </c>
      <c r="E150" s="43">
        <v>46125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3">
        <v>46139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5941</v>
      </c>
      <c r="C151" s="25" t="s">
        <v>5942</v>
      </c>
      <c r="D151" s="23" t="s">
        <v>5836</v>
      </c>
      <c r="E151" s="43">
        <v>46125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3">
        <v>46139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5943</v>
      </c>
      <c r="C152" s="41" t="s">
        <v>5944</v>
      </c>
      <c r="D152" s="39" t="s">
        <v>5836</v>
      </c>
      <c r="E152" s="43">
        <v>46125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3">
        <v>46139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5945</v>
      </c>
      <c r="C153" s="25" t="s">
        <v>5946</v>
      </c>
      <c r="D153" s="23" t="s">
        <v>5836</v>
      </c>
      <c r="E153" s="43">
        <v>46125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3">
        <v>46139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5947</v>
      </c>
      <c r="C154" s="41" t="s">
        <v>5948</v>
      </c>
      <c r="D154" s="39" t="s">
        <v>5836</v>
      </c>
      <c r="E154" s="43">
        <v>46125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3">
        <v>46139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5949</v>
      </c>
      <c r="C155" s="25" t="s">
        <v>5950</v>
      </c>
      <c r="D155" s="23" t="s">
        <v>5836</v>
      </c>
      <c r="E155" s="43">
        <v>46125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3">
        <v>46139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5951</v>
      </c>
      <c r="C156" s="41" t="s">
        <v>5952</v>
      </c>
      <c r="D156" s="39" t="s">
        <v>5836</v>
      </c>
      <c r="E156" s="43">
        <v>46125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3">
        <v>46139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5953</v>
      </c>
      <c r="C157" s="25" t="s">
        <v>5954</v>
      </c>
      <c r="D157" s="23" t="s">
        <v>5836</v>
      </c>
      <c r="E157" s="43">
        <v>46125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3">
        <v>46139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5955</v>
      </c>
      <c r="C158" s="41" t="s">
        <v>5956</v>
      </c>
      <c r="D158" s="39" t="s">
        <v>5836</v>
      </c>
      <c r="E158" s="43">
        <v>46125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43">
        <v>46139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5957</v>
      </c>
      <c r="C159" s="25" t="s">
        <v>5958</v>
      </c>
      <c r="D159" s="23" t="s">
        <v>5836</v>
      </c>
      <c r="E159" s="43">
        <v>46125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43">
        <v>46139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5959</v>
      </c>
      <c r="C160" s="41" t="s">
        <v>5960</v>
      </c>
      <c r="D160" s="39" t="s">
        <v>5836</v>
      </c>
      <c r="E160" s="43">
        <v>46125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3">
        <v>46139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5961</v>
      </c>
      <c r="C161" s="25" t="s">
        <v>5962</v>
      </c>
      <c r="D161" s="23" t="s">
        <v>5836</v>
      </c>
      <c r="E161" s="43">
        <v>46125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3">
        <v>46139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5963</v>
      </c>
      <c r="C162" s="41" t="s">
        <v>5964</v>
      </c>
      <c r="D162" s="39" t="s">
        <v>5836</v>
      </c>
      <c r="E162" s="43">
        <v>46125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3">
        <v>46139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5965</v>
      </c>
      <c r="C163" s="25" t="s">
        <v>5966</v>
      </c>
      <c r="D163" s="23" t="s">
        <v>5836</v>
      </c>
      <c r="E163" s="43">
        <v>46125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3">
        <v>46139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5967</v>
      </c>
      <c r="C164" s="41" t="s">
        <v>5968</v>
      </c>
      <c r="D164" s="39" t="s">
        <v>5836</v>
      </c>
      <c r="E164" s="43">
        <v>46125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3">
        <v>46139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5969</v>
      </c>
      <c r="C165" s="25" t="s">
        <v>5970</v>
      </c>
      <c r="D165" s="23" t="s">
        <v>5836</v>
      </c>
      <c r="E165" s="43">
        <v>46125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3">
        <v>46139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5971</v>
      </c>
      <c r="C166" s="41" t="s">
        <v>5972</v>
      </c>
      <c r="D166" s="39" t="s">
        <v>5836</v>
      </c>
      <c r="E166" s="43">
        <v>46125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3">
        <v>46139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5973</v>
      </c>
      <c r="C167" s="25" t="s">
        <v>5974</v>
      </c>
      <c r="D167" s="23" t="s">
        <v>5836</v>
      </c>
      <c r="E167" s="43">
        <v>46125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3">
        <v>46139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5975</v>
      </c>
      <c r="C168" s="41" t="s">
        <v>5976</v>
      </c>
      <c r="D168" s="39" t="s">
        <v>5836</v>
      </c>
      <c r="E168" s="43">
        <v>46125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3">
        <v>46139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5977</v>
      </c>
      <c r="C169" s="25" t="s">
        <v>5978</v>
      </c>
      <c r="D169" s="23" t="s">
        <v>5836</v>
      </c>
      <c r="E169" s="43">
        <v>46125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3">
        <v>46139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5979</v>
      </c>
      <c r="C170" s="41" t="s">
        <v>5980</v>
      </c>
      <c r="D170" s="39" t="s">
        <v>5836</v>
      </c>
      <c r="E170" s="43">
        <v>46125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3">
        <v>46139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5981</v>
      </c>
      <c r="C171" s="25" t="s">
        <v>5982</v>
      </c>
      <c r="D171" s="23" t="s">
        <v>5836</v>
      </c>
      <c r="E171" s="43">
        <v>46125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3">
        <v>46139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5983</v>
      </c>
      <c r="C172" s="41" t="s">
        <v>5984</v>
      </c>
      <c r="D172" s="39" t="s">
        <v>5836</v>
      </c>
      <c r="E172" s="43">
        <v>46125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3">
        <v>46139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5985</v>
      </c>
      <c r="C173" s="25" t="s">
        <v>5986</v>
      </c>
      <c r="D173" s="23" t="s">
        <v>5836</v>
      </c>
      <c r="E173" s="43">
        <v>46125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3">
        <v>46139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5987</v>
      </c>
      <c r="C174" s="41" t="s">
        <v>5988</v>
      </c>
      <c r="D174" s="39" t="s">
        <v>5836</v>
      </c>
      <c r="E174" s="43">
        <v>46125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3">
        <v>46139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5989</v>
      </c>
      <c r="C175" s="25" t="s">
        <v>5990</v>
      </c>
      <c r="D175" s="23" t="s">
        <v>5836</v>
      </c>
      <c r="E175" s="43">
        <v>46125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3">
        <v>46139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5991</v>
      </c>
      <c r="C176" s="41" t="s">
        <v>5992</v>
      </c>
      <c r="D176" s="39" t="s">
        <v>5836</v>
      </c>
      <c r="E176" s="43">
        <v>46125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3">
        <v>46139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5993</v>
      </c>
      <c r="C177" s="25" t="s">
        <v>5994</v>
      </c>
      <c r="D177" s="23" t="s">
        <v>5836</v>
      </c>
      <c r="E177" s="43">
        <v>46125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3">
        <v>46139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5995</v>
      </c>
      <c r="C178" s="41" t="s">
        <v>5996</v>
      </c>
      <c r="D178" s="39" t="s">
        <v>5836</v>
      </c>
      <c r="E178" s="43">
        <v>46125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3">
        <v>46139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5997</v>
      </c>
      <c r="C179" s="25" t="s">
        <v>5998</v>
      </c>
      <c r="D179" s="23" t="s">
        <v>5836</v>
      </c>
      <c r="E179" s="43">
        <v>46125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3">
        <v>46139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5999</v>
      </c>
      <c r="C180" s="41" t="s">
        <v>6000</v>
      </c>
      <c r="D180" s="39" t="s">
        <v>5836</v>
      </c>
      <c r="E180" s="43">
        <v>46125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3">
        <v>46139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6001</v>
      </c>
      <c r="C181" s="25" t="s">
        <v>6002</v>
      </c>
      <c r="D181" s="23" t="s">
        <v>5836</v>
      </c>
      <c r="E181" s="43">
        <v>46125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3">
        <v>46139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6003</v>
      </c>
      <c r="C182" s="41" t="s">
        <v>6004</v>
      </c>
      <c r="D182" s="39" t="s">
        <v>5836</v>
      </c>
      <c r="E182" s="43">
        <v>46125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3">
        <v>46139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6005</v>
      </c>
      <c r="C183" s="25" t="s">
        <v>6006</v>
      </c>
      <c r="D183" s="23" t="s">
        <v>5836</v>
      </c>
      <c r="E183" s="43">
        <v>46125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3">
        <v>46139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6007</v>
      </c>
      <c r="C184" s="41" t="s">
        <v>6008</v>
      </c>
      <c r="D184" s="39" t="s">
        <v>5836</v>
      </c>
      <c r="E184" s="43">
        <v>46125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3">
        <v>46139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6009</v>
      </c>
      <c r="C185" s="25" t="s">
        <v>6010</v>
      </c>
      <c r="D185" s="23" t="s">
        <v>5836</v>
      </c>
      <c r="E185" s="43">
        <v>46125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3">
        <v>46139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6011</v>
      </c>
      <c r="C186" s="41" t="s">
        <v>6012</v>
      </c>
      <c r="D186" s="39" t="s">
        <v>5836</v>
      </c>
      <c r="E186" s="43">
        <v>46125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3">
        <v>46139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6013</v>
      </c>
      <c r="C187" s="25" t="s">
        <v>6014</v>
      </c>
      <c r="D187" s="23" t="s">
        <v>5836</v>
      </c>
      <c r="E187" s="43">
        <v>46125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3">
        <v>46139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6015</v>
      </c>
      <c r="C188" s="41" t="s">
        <v>6016</v>
      </c>
      <c r="D188" s="39" t="s">
        <v>5836</v>
      </c>
      <c r="E188" s="43">
        <v>46125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3">
        <v>46139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6017</v>
      </c>
      <c r="C189" s="25" t="s">
        <v>6018</v>
      </c>
      <c r="D189" s="23" t="s">
        <v>5836</v>
      </c>
      <c r="E189" s="43">
        <v>46125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3">
        <v>46139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6019</v>
      </c>
      <c r="C190" s="41" t="s">
        <v>6020</v>
      </c>
      <c r="D190" s="39" t="s">
        <v>5836</v>
      </c>
      <c r="E190" s="43">
        <v>46125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3">
        <v>46139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6021</v>
      </c>
      <c r="C191" s="25" t="s">
        <v>6022</v>
      </c>
      <c r="D191" s="23" t="s">
        <v>5836</v>
      </c>
      <c r="E191" s="43">
        <v>46125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3">
        <v>46139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6023</v>
      </c>
      <c r="C192" s="41" t="s">
        <v>6024</v>
      </c>
      <c r="D192" s="39" t="s">
        <v>5836</v>
      </c>
      <c r="E192" s="43">
        <v>46125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3">
        <v>46139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6025</v>
      </c>
      <c r="C193" s="25" t="s">
        <v>6026</v>
      </c>
      <c r="D193" s="23" t="s">
        <v>5836</v>
      </c>
      <c r="E193" s="43">
        <v>46125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3">
        <v>46139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6027</v>
      </c>
      <c r="C194" s="41" t="s">
        <v>6028</v>
      </c>
      <c r="D194" s="39" t="s">
        <v>5836</v>
      </c>
      <c r="E194" s="43">
        <v>46125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3">
        <v>46139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6029</v>
      </c>
      <c r="C195" s="25" t="s">
        <v>6030</v>
      </c>
      <c r="D195" s="23" t="s">
        <v>5836</v>
      </c>
      <c r="E195" s="43">
        <v>46125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3">
        <v>46139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6031</v>
      </c>
      <c r="C196" s="41" t="s">
        <v>6032</v>
      </c>
      <c r="D196" s="39" t="s">
        <v>5836</v>
      </c>
      <c r="E196" s="43">
        <v>46125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3">
        <v>46139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6033</v>
      </c>
      <c r="C197" s="25" t="s">
        <v>6034</v>
      </c>
      <c r="D197" s="23" t="s">
        <v>5836</v>
      </c>
      <c r="E197" s="43">
        <v>46125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3">
        <v>46139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6035</v>
      </c>
      <c r="C198" s="41" t="s">
        <v>6036</v>
      </c>
      <c r="D198" s="39" t="s">
        <v>5836</v>
      </c>
      <c r="E198" s="43">
        <v>46125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3">
        <v>46139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6037</v>
      </c>
      <c r="C199" s="25" t="s">
        <v>6038</v>
      </c>
      <c r="D199" s="23" t="s">
        <v>5836</v>
      </c>
      <c r="E199" s="43">
        <v>46125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3">
        <v>46139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6039</v>
      </c>
      <c r="C200" s="41" t="s">
        <v>6040</v>
      </c>
      <c r="D200" s="39" t="s">
        <v>5836</v>
      </c>
      <c r="E200" s="43">
        <v>46125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3">
        <v>46139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6041</v>
      </c>
      <c r="C201" s="25" t="s">
        <v>6042</v>
      </c>
      <c r="D201" s="23" t="s">
        <v>5836</v>
      </c>
      <c r="E201" s="43">
        <v>46125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3">
        <v>46139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6043</v>
      </c>
      <c r="C202" s="41" t="s">
        <v>6044</v>
      </c>
      <c r="D202" s="39" t="s">
        <v>5836</v>
      </c>
      <c r="E202" s="43">
        <v>46125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3">
        <v>46139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6045</v>
      </c>
      <c r="C203" s="25" t="s">
        <v>6046</v>
      </c>
      <c r="D203" s="23" t="s">
        <v>5836</v>
      </c>
      <c r="E203" s="43">
        <v>46125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3">
        <v>46139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6047</v>
      </c>
      <c r="C204" s="41" t="s">
        <v>6048</v>
      </c>
      <c r="D204" s="39" t="s">
        <v>5836</v>
      </c>
      <c r="E204" s="43">
        <v>46125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3">
        <v>46139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6049</v>
      </c>
      <c r="C205" s="25" t="s">
        <v>6050</v>
      </c>
      <c r="D205" s="23" t="s">
        <v>5836</v>
      </c>
      <c r="E205" s="43">
        <v>46125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3">
        <v>46139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6051</v>
      </c>
      <c r="C206" s="41" t="s">
        <v>6052</v>
      </c>
      <c r="D206" s="39" t="s">
        <v>5836</v>
      </c>
      <c r="E206" s="43">
        <v>46125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3">
        <v>46139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6053</v>
      </c>
      <c r="C207" s="25" t="s">
        <v>6054</v>
      </c>
      <c r="D207" s="23" t="s">
        <v>5836</v>
      </c>
      <c r="E207" s="43">
        <v>46125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3">
        <v>46139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6055</v>
      </c>
      <c r="C208" s="41" t="s">
        <v>6056</v>
      </c>
      <c r="D208" s="39" t="s">
        <v>5836</v>
      </c>
      <c r="E208" s="43">
        <v>46125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3">
        <v>46139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6057</v>
      </c>
      <c r="C209" s="25" t="s">
        <v>6058</v>
      </c>
      <c r="D209" s="23" t="s">
        <v>5836</v>
      </c>
      <c r="E209" s="43">
        <v>46125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3">
        <v>46139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6059</v>
      </c>
      <c r="C210" s="41" t="s">
        <v>6060</v>
      </c>
      <c r="D210" s="39" t="s">
        <v>5836</v>
      </c>
      <c r="E210" s="43">
        <v>46125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3">
        <v>46139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6061</v>
      </c>
      <c r="C211" s="25" t="s">
        <v>6062</v>
      </c>
      <c r="D211" s="23" t="s">
        <v>5836</v>
      </c>
      <c r="E211" s="43">
        <v>46125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3">
        <v>46139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6063</v>
      </c>
      <c r="C212" s="41" t="s">
        <v>6064</v>
      </c>
      <c r="D212" s="39" t="s">
        <v>5836</v>
      </c>
      <c r="E212" s="43">
        <v>46125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43">
        <v>46139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6065</v>
      </c>
      <c r="C213" s="25" t="s">
        <v>6066</v>
      </c>
      <c r="D213" s="23" t="s">
        <v>5836</v>
      </c>
      <c r="E213" s="43">
        <v>46125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3">
        <v>46139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6067</v>
      </c>
      <c r="C214" s="41" t="s">
        <v>6068</v>
      </c>
      <c r="D214" s="39" t="s">
        <v>5836</v>
      </c>
      <c r="E214" s="43">
        <v>46125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3">
        <v>46139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6069</v>
      </c>
      <c r="C215" s="25" t="s">
        <v>6070</v>
      </c>
      <c r="D215" s="23" t="s">
        <v>5836</v>
      </c>
      <c r="E215" s="43">
        <v>46125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3">
        <v>46139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6071</v>
      </c>
      <c r="C216" s="41" t="s">
        <v>6072</v>
      </c>
      <c r="D216" s="39" t="s">
        <v>5836</v>
      </c>
      <c r="E216" s="43">
        <v>46125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3">
        <v>46139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6073</v>
      </c>
      <c r="C217" s="25" t="s">
        <v>6074</v>
      </c>
      <c r="D217" s="23" t="s">
        <v>5836</v>
      </c>
      <c r="E217" s="43">
        <v>46125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3">
        <v>46139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6075</v>
      </c>
      <c r="C218" s="41" t="s">
        <v>6076</v>
      </c>
      <c r="D218" s="39" t="s">
        <v>5836</v>
      </c>
      <c r="E218" s="43">
        <v>46125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3">
        <v>46139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6077</v>
      </c>
      <c r="C219" s="25" t="s">
        <v>6078</v>
      </c>
      <c r="D219" s="23" t="s">
        <v>5836</v>
      </c>
      <c r="E219" s="43">
        <v>46125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3">
        <v>46139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6079</v>
      </c>
      <c r="C220" s="41" t="s">
        <v>6080</v>
      </c>
      <c r="D220" s="39" t="s">
        <v>5836</v>
      </c>
      <c r="E220" s="43">
        <v>46125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3">
        <v>46139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6081</v>
      </c>
      <c r="C221" s="25" t="s">
        <v>6082</v>
      </c>
      <c r="D221" s="23" t="s">
        <v>5836</v>
      </c>
      <c r="E221" s="43">
        <v>46125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3">
        <v>46139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6083</v>
      </c>
      <c r="C222" s="41" t="s">
        <v>6084</v>
      </c>
      <c r="D222" s="39" t="s">
        <v>5836</v>
      </c>
      <c r="E222" s="43">
        <v>46125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3">
        <v>46139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6085</v>
      </c>
      <c r="C223" s="25" t="s">
        <v>6086</v>
      </c>
      <c r="D223" s="23" t="s">
        <v>5836</v>
      </c>
      <c r="E223" s="43">
        <v>46125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3">
        <v>46139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6087</v>
      </c>
      <c r="C224" s="41" t="s">
        <v>6088</v>
      </c>
      <c r="D224" s="39" t="s">
        <v>5836</v>
      </c>
      <c r="E224" s="43">
        <v>46125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3">
        <v>46139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6089</v>
      </c>
      <c r="C225" s="25" t="s">
        <v>6090</v>
      </c>
      <c r="D225" s="23" t="s">
        <v>5836</v>
      </c>
      <c r="E225" s="43">
        <v>46125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3">
        <v>46139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6091</v>
      </c>
      <c r="C226" s="41" t="s">
        <v>6092</v>
      </c>
      <c r="D226" s="39" t="s">
        <v>5836</v>
      </c>
      <c r="E226" s="43">
        <v>46125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3">
        <v>46139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6093</v>
      </c>
      <c r="C227" s="25" t="s">
        <v>6094</v>
      </c>
      <c r="D227" s="23" t="s">
        <v>5836</v>
      </c>
      <c r="E227" s="43">
        <v>46125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3">
        <v>46139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6095</v>
      </c>
      <c r="C228" s="41" t="s">
        <v>6096</v>
      </c>
      <c r="D228" s="39" t="s">
        <v>5836</v>
      </c>
      <c r="E228" s="43">
        <v>46125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3">
        <v>46139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6097</v>
      </c>
      <c r="C229" s="25" t="s">
        <v>6098</v>
      </c>
      <c r="D229" s="23" t="s">
        <v>5836</v>
      </c>
      <c r="E229" s="43">
        <v>46125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3">
        <v>46139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6099</v>
      </c>
      <c r="C230" s="41" t="s">
        <v>6100</v>
      </c>
      <c r="D230" s="39" t="s">
        <v>5836</v>
      </c>
      <c r="E230" s="43">
        <v>46125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3">
        <v>46139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6101</v>
      </c>
      <c r="C231" s="25" t="s">
        <v>6102</v>
      </c>
      <c r="D231" s="23" t="s">
        <v>5836</v>
      </c>
      <c r="E231" s="43">
        <v>46125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3">
        <v>46139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6103</v>
      </c>
      <c r="C232" s="41" t="s">
        <v>6104</v>
      </c>
      <c r="D232" s="39" t="s">
        <v>5836</v>
      </c>
      <c r="E232" s="43">
        <v>46125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3">
        <v>46139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6105</v>
      </c>
      <c r="C233" s="25" t="s">
        <v>6106</v>
      </c>
      <c r="D233" s="23" t="s">
        <v>5836</v>
      </c>
      <c r="E233" s="43">
        <v>46125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3">
        <v>46139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6107</v>
      </c>
      <c r="C234" s="41" t="s">
        <v>6108</v>
      </c>
      <c r="D234" s="39" t="s">
        <v>5836</v>
      </c>
      <c r="E234" s="43">
        <v>46125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3">
        <v>46139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6109</v>
      </c>
      <c r="C235" s="25" t="s">
        <v>6110</v>
      </c>
      <c r="D235" s="23" t="s">
        <v>5836</v>
      </c>
      <c r="E235" s="43">
        <v>46125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3">
        <v>46139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6111</v>
      </c>
      <c r="C236" s="41" t="s">
        <v>6112</v>
      </c>
      <c r="D236" s="39" t="s">
        <v>5836</v>
      </c>
      <c r="E236" s="43">
        <v>46125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3">
        <v>46139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6113</v>
      </c>
      <c r="C237" s="25" t="s">
        <v>6114</v>
      </c>
      <c r="D237" s="23" t="s">
        <v>5836</v>
      </c>
      <c r="E237" s="43">
        <v>46125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3">
        <v>46139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6115</v>
      </c>
      <c r="C238" s="41" t="s">
        <v>6116</v>
      </c>
      <c r="D238" s="39" t="s">
        <v>5836</v>
      </c>
      <c r="E238" s="43">
        <v>46125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3">
        <v>46139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6117</v>
      </c>
      <c r="C239" s="25" t="s">
        <v>6118</v>
      </c>
      <c r="D239" s="23" t="s">
        <v>5836</v>
      </c>
      <c r="E239" s="43">
        <v>46125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3">
        <v>46139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6119</v>
      </c>
      <c r="C240" s="41" t="s">
        <v>6120</v>
      </c>
      <c r="D240" s="39" t="s">
        <v>5836</v>
      </c>
      <c r="E240" s="43">
        <v>46125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3">
        <v>46139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6121</v>
      </c>
      <c r="C241" s="25" t="s">
        <v>6122</v>
      </c>
      <c r="D241" s="23" t="s">
        <v>5836</v>
      </c>
      <c r="E241" s="43">
        <v>46125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3">
        <v>46139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6123</v>
      </c>
      <c r="C242" s="41" t="s">
        <v>6124</v>
      </c>
      <c r="D242" s="39" t="s">
        <v>5836</v>
      </c>
      <c r="E242" s="43">
        <v>46125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3">
        <v>46139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6125</v>
      </c>
      <c r="C243" s="25" t="s">
        <v>6126</v>
      </c>
      <c r="D243" s="23" t="s">
        <v>5836</v>
      </c>
      <c r="E243" s="43">
        <v>46125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3">
        <v>46139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6127</v>
      </c>
      <c r="C244" s="41" t="s">
        <v>6128</v>
      </c>
      <c r="D244" s="39" t="s">
        <v>5836</v>
      </c>
      <c r="E244" s="43">
        <v>46125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3">
        <v>46139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6129</v>
      </c>
      <c r="C245" s="25" t="s">
        <v>6130</v>
      </c>
      <c r="D245" s="23" t="s">
        <v>5836</v>
      </c>
      <c r="E245" s="43">
        <v>46125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3">
        <v>46139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6131</v>
      </c>
      <c r="C246" s="41" t="s">
        <v>6132</v>
      </c>
      <c r="D246" s="39" t="s">
        <v>5836</v>
      </c>
      <c r="E246" s="43">
        <v>46125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3">
        <v>46139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6133</v>
      </c>
      <c r="C247" s="25" t="s">
        <v>6134</v>
      </c>
      <c r="D247" s="23" t="s">
        <v>5836</v>
      </c>
      <c r="E247" s="43">
        <v>46125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3">
        <v>46139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6135</v>
      </c>
      <c r="C248" s="41" t="s">
        <v>6136</v>
      </c>
      <c r="D248" s="39" t="s">
        <v>5836</v>
      </c>
      <c r="E248" s="43">
        <v>46125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3">
        <v>46139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6137</v>
      </c>
      <c r="C249" s="25" t="s">
        <v>6138</v>
      </c>
      <c r="D249" s="23" t="s">
        <v>5836</v>
      </c>
      <c r="E249" s="43">
        <v>46125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3">
        <v>46139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6139</v>
      </c>
      <c r="C250" s="41" t="s">
        <v>6140</v>
      </c>
      <c r="D250" s="39" t="s">
        <v>5836</v>
      </c>
      <c r="E250" s="43">
        <v>46125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3">
        <v>46139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6141</v>
      </c>
      <c r="C251" s="25" t="s">
        <v>6142</v>
      </c>
      <c r="D251" s="23" t="s">
        <v>5836</v>
      </c>
      <c r="E251" s="43">
        <v>46125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3">
        <v>46139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6143</v>
      </c>
      <c r="C252" s="41" t="s">
        <v>6144</v>
      </c>
      <c r="D252" s="39" t="s">
        <v>5836</v>
      </c>
      <c r="E252" s="43">
        <v>46125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3">
        <v>46139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6145</v>
      </c>
      <c r="C253" s="25" t="s">
        <v>6146</v>
      </c>
      <c r="D253" s="23" t="s">
        <v>5836</v>
      </c>
      <c r="E253" s="43">
        <v>46125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3">
        <v>46139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6147</v>
      </c>
      <c r="C254" s="41" t="s">
        <v>6148</v>
      </c>
      <c r="D254" s="39" t="s">
        <v>5836</v>
      </c>
      <c r="E254" s="43">
        <v>46125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3">
        <v>46139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6149</v>
      </c>
      <c r="C255" s="25" t="s">
        <v>6150</v>
      </c>
      <c r="D255" s="23" t="s">
        <v>5836</v>
      </c>
      <c r="E255" s="43">
        <v>46125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3">
        <v>46139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6151</v>
      </c>
      <c r="C256" s="41" t="s">
        <v>6152</v>
      </c>
      <c r="D256" s="39" t="s">
        <v>5836</v>
      </c>
      <c r="E256" s="43">
        <v>46125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3">
        <v>46139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6153</v>
      </c>
      <c r="C257" s="25" t="s">
        <v>6154</v>
      </c>
      <c r="D257" s="23" t="s">
        <v>5836</v>
      </c>
      <c r="E257" s="43">
        <v>46125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3">
        <v>46139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6155</v>
      </c>
      <c r="C258" s="41" t="s">
        <v>6156</v>
      </c>
      <c r="D258" s="39" t="s">
        <v>5836</v>
      </c>
      <c r="E258" s="43">
        <v>46125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3">
        <v>46139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6157</v>
      </c>
      <c r="C259" s="25" t="s">
        <v>6158</v>
      </c>
      <c r="D259" s="23" t="s">
        <v>5836</v>
      </c>
      <c r="E259" s="43">
        <v>46125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3">
        <v>46139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6159</v>
      </c>
      <c r="C260" s="41" t="s">
        <v>6160</v>
      </c>
      <c r="D260" s="39" t="s">
        <v>5836</v>
      </c>
      <c r="E260" s="43">
        <v>46125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3">
        <v>46139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6161</v>
      </c>
      <c r="C261" s="25" t="s">
        <v>6162</v>
      </c>
      <c r="D261" s="23" t="s">
        <v>5836</v>
      </c>
      <c r="E261" s="43">
        <v>46125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2" si="20">IF(E261="","",IF(H261="Yes","❌ Disc",IF(G261="No","⚠ Missing",IF(J261="Yes","✓ OK","⚠ Check"))))</f>
        <v>✓ OK</v>
      </c>
      <c r="N261" s="43">
        <v>46139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2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292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2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6163</v>
      </c>
      <c r="C262" s="41" t="s">
        <v>6164</v>
      </c>
      <c r="D262" s="39" t="s">
        <v>5836</v>
      </c>
      <c r="E262" s="43">
        <v>46125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3">
        <v>46139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6165</v>
      </c>
      <c r="C263" s="25" t="s">
        <v>6166</v>
      </c>
      <c r="D263" s="23" t="s">
        <v>5836</v>
      </c>
      <c r="E263" s="43">
        <v>46125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3">
        <v>46139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6167</v>
      </c>
      <c r="C264" s="41" t="s">
        <v>6168</v>
      </c>
      <c r="D264" s="39" t="s">
        <v>5836</v>
      </c>
      <c r="E264" s="43">
        <v>46125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3">
        <v>46139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6169</v>
      </c>
      <c r="C265" s="25" t="s">
        <v>6170</v>
      </c>
      <c r="D265" s="23" t="s">
        <v>5836</v>
      </c>
      <c r="E265" s="43">
        <v>46125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3">
        <v>46139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6171</v>
      </c>
      <c r="C266" s="41" t="s">
        <v>6172</v>
      </c>
      <c r="D266" s="39" t="s">
        <v>5836</v>
      </c>
      <c r="E266" s="43">
        <v>46125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3">
        <v>46139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6173</v>
      </c>
      <c r="C267" s="25" t="s">
        <v>6174</v>
      </c>
      <c r="D267" s="23" t="s">
        <v>5836</v>
      </c>
      <c r="E267" s="43">
        <v>46125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3">
        <v>46139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6175</v>
      </c>
      <c r="C268" s="41" t="s">
        <v>6176</v>
      </c>
      <c r="D268" s="39" t="s">
        <v>5836</v>
      </c>
      <c r="E268" s="43">
        <v>46125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3">
        <v>46139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6177</v>
      </c>
      <c r="C269" s="25" t="s">
        <v>6178</v>
      </c>
      <c r="D269" s="23" t="s">
        <v>5836</v>
      </c>
      <c r="E269" s="43">
        <v>46125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3">
        <v>46139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6179</v>
      </c>
      <c r="C270" s="41" t="s">
        <v>6180</v>
      </c>
      <c r="D270" s="39" t="s">
        <v>5836</v>
      </c>
      <c r="E270" s="43">
        <v>46125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3">
        <v>46139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6181</v>
      </c>
      <c r="C271" s="25" t="s">
        <v>6182</v>
      </c>
      <c r="D271" s="23" t="s">
        <v>5836</v>
      </c>
      <c r="E271" s="43">
        <v>46125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3">
        <v>46139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6183</v>
      </c>
      <c r="C272" s="41" t="s">
        <v>6184</v>
      </c>
      <c r="D272" s="39" t="s">
        <v>5836</v>
      </c>
      <c r="E272" s="43">
        <v>46125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3">
        <v>46139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6185</v>
      </c>
      <c r="C273" s="25" t="s">
        <v>6186</v>
      </c>
      <c r="D273" s="23" t="s">
        <v>5836</v>
      </c>
      <c r="E273" s="43">
        <v>46125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3">
        <v>46139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6187</v>
      </c>
      <c r="C274" s="41" t="s">
        <v>6188</v>
      </c>
      <c r="D274" s="39" t="s">
        <v>5836</v>
      </c>
      <c r="E274" s="43">
        <v>46125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3">
        <v>46139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6189</v>
      </c>
      <c r="C275" s="25" t="s">
        <v>6190</v>
      </c>
      <c r="D275" s="23" t="s">
        <v>5836</v>
      </c>
      <c r="E275" s="43">
        <v>46125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3">
        <v>46139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6191</v>
      </c>
      <c r="C276" s="41" t="s">
        <v>6192</v>
      </c>
      <c r="D276" s="39" t="s">
        <v>5836</v>
      </c>
      <c r="E276" s="43">
        <v>46125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3">
        <v>46139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6193</v>
      </c>
      <c r="C277" s="25" t="s">
        <v>6194</v>
      </c>
      <c r="D277" s="23" t="s">
        <v>5836</v>
      </c>
      <c r="E277" s="43">
        <v>46125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3">
        <v>46139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6195</v>
      </c>
      <c r="C278" s="41" t="s">
        <v>6196</v>
      </c>
      <c r="D278" s="39" t="s">
        <v>5836</v>
      </c>
      <c r="E278" s="43">
        <v>46125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3">
        <v>46139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6197</v>
      </c>
      <c r="C279" s="25" t="s">
        <v>6198</v>
      </c>
      <c r="D279" s="23" t="s">
        <v>5836</v>
      </c>
      <c r="E279" s="43">
        <v>46125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3">
        <v>46139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6199</v>
      </c>
      <c r="C280" s="41" t="s">
        <v>6200</v>
      </c>
      <c r="D280" s="39" t="s">
        <v>5836</v>
      </c>
      <c r="E280" s="43">
        <v>46125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3">
        <v>46139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6201</v>
      </c>
      <c r="C281" s="25" t="s">
        <v>6202</v>
      </c>
      <c r="D281" s="23" t="s">
        <v>5836</v>
      </c>
      <c r="E281" s="43">
        <v>46125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3">
        <v>46139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6203</v>
      </c>
      <c r="C282" s="41" t="s">
        <v>6204</v>
      </c>
      <c r="D282" s="39" t="s">
        <v>5836</v>
      </c>
      <c r="E282" s="43">
        <v>46125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3">
        <v>46139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6205</v>
      </c>
      <c r="C283" s="25" t="s">
        <v>6206</v>
      </c>
      <c r="D283" s="23" t="s">
        <v>5836</v>
      </c>
      <c r="E283" s="43">
        <v>46125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3">
        <v>46139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6207</v>
      </c>
      <c r="C284" s="41" t="s">
        <v>6208</v>
      </c>
      <c r="D284" s="39" t="s">
        <v>5836</v>
      </c>
      <c r="E284" s="43">
        <v>46125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3">
        <v>46139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6209</v>
      </c>
      <c r="C285" s="25" t="s">
        <v>6210</v>
      </c>
      <c r="D285" s="23" t="s">
        <v>5836</v>
      </c>
      <c r="E285" s="43">
        <v>46125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3">
        <v>46139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6211</v>
      </c>
      <c r="C286" s="41" t="s">
        <v>6212</v>
      </c>
      <c r="D286" s="39" t="s">
        <v>5836</v>
      </c>
      <c r="E286" s="43">
        <v>46125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3">
        <v>46139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6213</v>
      </c>
      <c r="C287" s="25" t="s">
        <v>6214</v>
      </c>
      <c r="D287" s="23" t="s">
        <v>5836</v>
      </c>
      <c r="E287" s="43">
        <v>46125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3">
        <v>46139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6215</v>
      </c>
      <c r="C288" s="41" t="s">
        <v>6216</v>
      </c>
      <c r="D288" s="39" t="s">
        <v>5836</v>
      </c>
      <c r="E288" s="43">
        <v>46125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3">
        <v>46139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6217</v>
      </c>
      <c r="C289" s="25" t="s">
        <v>6218</v>
      </c>
      <c r="D289" s="23" t="s">
        <v>5836</v>
      </c>
      <c r="E289" s="43">
        <v>46125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3">
        <v>46139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6219</v>
      </c>
      <c r="C290" s="41" t="s">
        <v>6220</v>
      </c>
      <c r="D290" s="39" t="s">
        <v>5836</v>
      </c>
      <c r="E290" s="43">
        <v>46125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3">
        <v>46139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6221</v>
      </c>
      <c r="C291" s="25" t="s">
        <v>6222</v>
      </c>
      <c r="D291" s="23" t="s">
        <v>5836</v>
      </c>
      <c r="E291" s="43">
        <v>46125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3">
        <v>46139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6223</v>
      </c>
      <c r="C292" s="41" t="s">
        <v>6224</v>
      </c>
      <c r="D292" s="39" t="s">
        <v>5836</v>
      </c>
      <c r="E292" s="43">
        <v>46125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3">
        <v>46139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dxfId="200" priority="18">
      <formula>G5="Yes"</formula>
    </cfRule>
    <cfRule type="expression" dxfId="199" priority="19">
      <formula>G5="No"</formula>
    </cfRule>
  </conditionalFormatting>
  <conditionalFormatting sqref="H5:H292">
    <cfRule type="expression" dxfId="198" priority="20">
      <formula>H5="Yes"</formula>
    </cfRule>
  </conditionalFormatting>
  <conditionalFormatting sqref="I5:L292">
    <cfRule type="expression" dxfId="197" priority="13">
      <formula>MOD(ROW(),2)=0</formula>
    </cfRule>
  </conditionalFormatting>
  <conditionalFormatting sqref="J5:J292">
    <cfRule type="expression" dxfId="196" priority="11">
      <formula>J5="Yes"</formula>
    </cfRule>
    <cfRule type="expression" dxfId="195" priority="12">
      <formula>J5="No"</formula>
    </cfRule>
  </conditionalFormatting>
  <conditionalFormatting sqref="M5:M292">
    <cfRule type="expression" dxfId="194" priority="14">
      <formula>M5="✓ OK"</formula>
    </cfRule>
    <cfRule type="expression" dxfId="193" priority="15">
      <formula>M5="❌ Disc"</formula>
    </cfRule>
    <cfRule type="expression" dxfId="192" priority="16">
      <formula>M5="⚠ Missing"</formula>
    </cfRule>
    <cfRule type="expression" dxfId="191" priority="17">
      <formula>M5="⚠ Check"</formula>
    </cfRule>
  </conditionalFormatting>
  <conditionalFormatting sqref="A5:H292 V5:AW292 M5:Q292">
    <cfRule type="expression" dxfId="190" priority="59">
      <formula>MOD(ROW(),2)=0</formula>
    </cfRule>
  </conditionalFormatting>
  <conditionalFormatting sqref="Y5:Y292">
    <cfRule type="expression" dxfId="180" priority="37">
      <formula>Y5="No"</formula>
    </cfRule>
    <cfRule type="expression" dxfId="179" priority="36">
      <formula>Y5="Yes"</formula>
    </cfRule>
  </conditionalFormatting>
  <conditionalFormatting sqref="Z5:Z292">
    <cfRule type="expression" dxfId="178" priority="38">
      <formula>Z5="Yes"</formula>
    </cfRule>
  </conditionalFormatting>
  <conditionalFormatting sqref="AB5:AB292">
    <cfRule type="expression" dxfId="177" priority="39">
      <formula>AB5="Yes"</formula>
    </cfRule>
    <cfRule type="expression" dxfId="176" priority="40">
      <formula>AB5="No"</formula>
    </cfRule>
  </conditionalFormatting>
  <conditionalFormatting sqref="AE5:AE292">
    <cfRule type="expression" dxfId="175" priority="32">
      <formula>AE5="✓ OK"</formula>
    </cfRule>
    <cfRule type="expression" dxfId="174" priority="33">
      <formula>AE5="❌ Disc"</formula>
    </cfRule>
    <cfRule type="expression" dxfId="173" priority="34">
      <formula>AE5="⚠ Missing"</formula>
    </cfRule>
    <cfRule type="expression" dxfId="172" priority="35">
      <formula>AE5="⚠ Check"</formula>
    </cfRule>
  </conditionalFormatting>
  <conditionalFormatting sqref="AH5:AH292">
    <cfRule type="expression" dxfId="171" priority="45">
      <formula>AH5="Yes"</formula>
    </cfRule>
    <cfRule type="expression" dxfId="170" priority="46">
      <formula>AH5="No"</formula>
    </cfRule>
  </conditionalFormatting>
  <conditionalFormatting sqref="AI5:AI292">
    <cfRule type="expression" dxfId="169" priority="47">
      <formula>AI5="Yes"</formula>
    </cfRule>
  </conditionalFormatting>
  <conditionalFormatting sqref="AK5:AK292">
    <cfRule type="expression" dxfId="168" priority="48">
      <formula>AK5="Yes"</formula>
    </cfRule>
    <cfRule type="expression" dxfId="167" priority="49">
      <formula>AK5="No"</formula>
    </cfRule>
  </conditionalFormatting>
  <conditionalFormatting sqref="AN5:AN292">
    <cfRule type="expression" dxfId="166" priority="41">
      <formula>AN5="✓ OK"</formula>
    </cfRule>
    <cfRule type="expression" dxfId="165" priority="42">
      <formula>AN5="❌ Disc"</formula>
    </cfRule>
    <cfRule type="expression" dxfId="164" priority="43">
      <formula>AN5="⚠ Missing"</formula>
    </cfRule>
    <cfRule type="expression" dxfId="163" priority="44">
      <formula>AN5="⚠ Check"</formula>
    </cfRule>
  </conditionalFormatting>
  <conditionalFormatting sqref="AQ5:AQ292">
    <cfRule type="expression" dxfId="162" priority="55">
      <formula>AQ5="No"</formula>
    </cfRule>
    <cfRule type="expression" dxfId="161" priority="54">
      <formula>AQ5="Yes"</formula>
    </cfRule>
  </conditionalFormatting>
  <conditionalFormatting sqref="AR5:AR292">
    <cfRule type="expression" dxfId="160" priority="56">
      <formula>AR5="Yes"</formula>
    </cfRule>
  </conditionalFormatting>
  <conditionalFormatting sqref="AT5:AT292">
    <cfRule type="expression" dxfId="159" priority="57">
      <formula>AT5="Yes"</formula>
    </cfRule>
    <cfRule type="expression" dxfId="158" priority="58">
      <formula>AT5="No"</formula>
    </cfRule>
  </conditionalFormatting>
  <conditionalFormatting sqref="AW5:AW292">
    <cfRule type="expression" dxfId="157" priority="50">
      <formula>AW5="✓ OK"</formula>
    </cfRule>
    <cfRule type="expression" dxfId="156" priority="51">
      <formula>AW5="❌ Disc"</formula>
    </cfRule>
    <cfRule type="expression" dxfId="155" priority="52">
      <formula>AW5="⚠ Missing"</formula>
    </cfRule>
    <cfRule type="expression" dxfId="154" priority="53">
      <formula>AW5="⚠ Check"</formula>
    </cfRule>
  </conditionalFormatting>
  <conditionalFormatting sqref="P5:P292">
    <cfRule type="expression" dxfId="9" priority="8">
      <formula>P5="Yes"</formula>
    </cfRule>
    <cfRule type="expression" dxfId="8" priority="9">
      <formula>P5="No"</formula>
    </cfRule>
  </conditionalFormatting>
  <conditionalFormatting sqref="Q5:Q292">
    <cfRule type="expression" dxfId="7" priority="10">
      <formula>Q5="Yes"</formula>
    </cfRule>
  </conditionalFormatting>
  <conditionalFormatting sqref="R5:U292">
    <cfRule type="expression" dxfId="6" priority="3">
      <formula>MOD(ROW(),2)=0</formula>
    </cfRule>
  </conditionalFormatting>
  <conditionalFormatting sqref="S5:S292">
    <cfRule type="expression" dxfId="5" priority="1">
      <formula>S5="Yes"</formula>
    </cfRule>
    <cfRule type="expression" dxfId="4" priority="2">
      <formula>S5="No"</formula>
    </cfRule>
  </conditionalFormatting>
  <conditionalFormatting sqref="V5:V292">
    <cfRule type="expression" dxfId="3" priority="4">
      <formula>V5="✓ OK"</formula>
    </cfRule>
    <cfRule type="expression" dxfId="2" priority="5">
      <formula>V5="❌ Disc"</formula>
    </cfRule>
    <cfRule type="expression" dxfId="1" priority="6">
      <formula>V5="⚠ Missing"</formula>
    </cfRule>
    <cfRule type="expression" dxfId="0" priority="7">
      <formula>V5="⚠ Check"</formula>
    </cfRule>
  </conditionalFormatting>
  <dataValidations count="2">
    <dataValidation type="list" allowBlank="1" sqref="AT5:AT292 AQ5:AR292 AK5:AK292 AH5:AI292 AB5:AB292 Y5:Z292 G5:H292 J5:J292 S5:S292 P5:Q292" xr:uid="{00000000-0002-0000-0C00-000000000000}">
      <formula1>"Yes,No"</formula1>
    </dataValidation>
    <dataValidation type="list" allowBlank="1" sqref="I5:I292 AS5:AS292 AJ5:AJ292 AA5:AA292 R5:R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2026-04-11T04:40:02Z</dcterms:created>
  <dcterms:modified xsi:type="dcterms:W3CDTF">2026-07-02T17:18:25Z</dcterms:modified>
  <cp:category/>
  <cp:contentStatus/>
</cp:coreProperties>
</file>